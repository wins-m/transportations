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080" windowHeight="12640" tabRatio="500"/>
  </bookViews>
  <sheets>
    <sheet name="Sheet1" sheetId="1" r:id="rId1"/>
  </sheets>
  <definedNames>
    <definedName name="_xlnm._FilterDatabase" localSheetId="0" hidden="1">Sheet1!$A$1:$P$181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<sst xmlns="http://schemas.openxmlformats.org/spreadsheetml/2006/main" count="1849" uniqueCount="932">
  <si>
    <t>日期</t>
  </si>
  <si>
    <t>类型</t>
  </si>
  <si>
    <t>时间</t>
  </si>
  <si>
    <t>车次</t>
  </si>
  <si>
    <t>始发站</t>
  </si>
  <si>
    <t>终到站</t>
  </si>
  <si>
    <t>航班类型</t>
  </si>
  <si>
    <t>里程</t>
  </si>
  <si>
    <t>乘坐区间</t>
  </si>
  <si>
    <t>区间里程</t>
  </si>
  <si>
    <t>区间时长</t>
  </si>
  <si>
    <t>检票</t>
  </si>
  <si>
    <t>座位号</t>
  </si>
  <si>
    <t>票价</t>
  </si>
  <si>
    <t>担当局</t>
  </si>
  <si>
    <t>备注</t>
  </si>
  <si>
    <t>公路</t>
  </si>
  <si>
    <t>17:40-20:30</t>
  </si>
  <si>
    <t>2094</t>
  </si>
  <si>
    <t>杭州东</t>
  </si>
  <si>
    <t>舟山临城</t>
  </si>
  <si>
    <t>大巴</t>
  </si>
  <si>
    <t>杭州东站汽车站-新城汽车客运站</t>
  </si>
  <si>
    <t>6</t>
  </si>
  <si>
    <t>杭州长运</t>
  </si>
  <si>
    <t>1,2,3//5,4,()//6,7,8//9,10,11//...</t>
  </si>
  <si>
    <t>09:20-12:50</t>
  </si>
  <si>
    <t>2037</t>
  </si>
  <si>
    <t>新城汽车客运站-杭州东站汽车站</t>
  </si>
  <si>
    <t>2</t>
  </si>
  <si>
    <t>舟山汽运</t>
  </si>
  <si>
    <t>法签</t>
  </si>
  <si>
    <t>17:40-19:35</t>
  </si>
  <si>
    <t>66026</t>
  </si>
  <si>
    <t>宁波机场</t>
  </si>
  <si>
    <t>朱家尖（机场）</t>
  </si>
  <si>
    <r>
      <rPr>
        <sz val="11"/>
        <color rgb="FF000000"/>
        <rFont val="SimSun"/>
        <charset val="134"/>
      </rPr>
      <t>宁波栎社机场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SimSun"/>
        <charset val="134"/>
      </rPr>
      <t>新城汽车客运站</t>
    </r>
  </si>
  <si>
    <t>P1-P3</t>
  </si>
  <si>
    <t>宁波空港巴士</t>
  </si>
  <si>
    <t>飞机</t>
  </si>
  <si>
    <t>14:16-16:29</t>
  </si>
  <si>
    <t>9C8731</t>
  </si>
  <si>
    <t>沈阳桃仙</t>
  </si>
  <si>
    <t>宁波栎社</t>
  </si>
  <si>
    <t>空客320-214(SL)</t>
  </si>
  <si>
    <t>桃仙T3-栎社T2</t>
  </si>
  <si>
    <t>72</t>
  </si>
  <si>
    <t>15A</t>
  </si>
  <si>
    <t>春秋航空</t>
  </si>
  <si>
    <t>铁路</t>
  </si>
  <si>
    <t>16:39-19:50</t>
  </si>
  <si>
    <t>C1160</t>
  </si>
  <si>
    <t>赤峰</t>
  </si>
  <si>
    <t>沈阳</t>
  </si>
  <si>
    <t>城际动车组列车-和谐号(CRH5A型)</t>
  </si>
  <si>
    <t>赤峰-沈阳</t>
  </si>
  <si>
    <t>二楼候车室</t>
  </si>
  <si>
    <t>02车16C号</t>
  </si>
  <si>
    <t>沈阳局</t>
  </si>
  <si>
    <t>-</t>
  </si>
  <si>
    <t>锡林格勒多伦</t>
  </si>
  <si>
    <t>赤峰红山</t>
  </si>
  <si>
    <t>自驾</t>
  </si>
  <si>
    <t>锡林格勒多伦县-赤峰红山区</t>
  </si>
  <si>
    <t>张家口张北</t>
  </si>
  <si>
    <t>张家口张北县-锡林格勒多伦县</t>
  </si>
  <si>
    <t>北京延庆</t>
  </si>
  <si>
    <t>北京延庆区-张家口张北县</t>
  </si>
  <si>
    <t>北京朝阳</t>
  </si>
  <si>
    <t>北京朝阳区-北京延庆区</t>
  </si>
  <si>
    <t>河北三河</t>
  </si>
  <si>
    <t>河北三河市-北京朝阳区</t>
  </si>
  <si>
    <t>天津津南</t>
  </si>
  <si>
    <t>天津津南-河北三河市</t>
  </si>
  <si>
    <t>滨州无棣</t>
  </si>
  <si>
    <t>滨州无棣县-天津津南区</t>
  </si>
  <si>
    <t>青岛崂山</t>
  </si>
  <si>
    <t>青岛崂山区-滨州无棣县</t>
  </si>
  <si>
    <t>日照岚山</t>
  </si>
  <si>
    <t>日照岚山区-青岛崂山区</t>
  </si>
  <si>
    <t>连云港海州</t>
  </si>
  <si>
    <t>连云港海州区-日照岚山区</t>
  </si>
  <si>
    <t>扬州邗江</t>
  </si>
  <si>
    <t>扬州邗江区-连云港海州区</t>
  </si>
  <si>
    <t>南京栖霞</t>
  </si>
  <si>
    <t>南京栖霞区-扬州邗江区</t>
  </si>
  <si>
    <t>苏州吴中</t>
  </si>
  <si>
    <t>苏州吴中区-南京栖霞区</t>
  </si>
  <si>
    <t>江苏太仓</t>
  </si>
  <si>
    <t>江苏太仓市-苏州吴中区</t>
  </si>
  <si>
    <t>上海静安</t>
  </si>
  <si>
    <t>上海静安区-江苏太仓市</t>
  </si>
  <si>
    <t>嘉兴嘉善</t>
  </si>
  <si>
    <t>嘉兴嘉善区-上海静安区</t>
  </si>
  <si>
    <t>杭州余杭</t>
  </si>
  <si>
    <t>杭州余杭区-嘉兴嘉善区</t>
  </si>
  <si>
    <t>宁波江北</t>
  </si>
  <si>
    <t>宁波江北区-杭州余杭区</t>
  </si>
  <si>
    <t>13:10-14:30</t>
  </si>
  <si>
    <t>1019</t>
  </si>
  <si>
    <t>宁波南</t>
  </si>
  <si>
    <r>
      <rPr>
        <sz val="11"/>
        <color rgb="FF000000"/>
        <rFont val="SimSun"/>
        <charset val="134"/>
      </rPr>
      <t>新城汽车客运站</t>
    </r>
    <r>
      <rPr>
        <sz val="11"/>
        <color rgb="FF000000"/>
        <rFont val="Times New Roman"/>
        <charset val="134"/>
      </rPr>
      <t>-</t>
    </r>
    <r>
      <rPr>
        <sz val="11"/>
        <color rgb="FF000000"/>
        <rFont val="SimSun"/>
        <charset val="134"/>
      </rPr>
      <t>宁波汽车南站</t>
    </r>
  </si>
  <si>
    <t>5</t>
  </si>
  <si>
    <t>15:50-17:50</t>
  </si>
  <si>
    <t>66021</t>
  </si>
  <si>
    <t>13:17-15:18</t>
  </si>
  <si>
    <t>IJ01</t>
  </si>
  <si>
    <t>东京成田</t>
  </si>
  <si>
    <r>
      <rPr>
        <sz val="11"/>
        <color rgb="FF000000"/>
        <rFont val="SimSun"/>
        <charset val="134"/>
      </rPr>
      <t>波音</t>
    </r>
    <r>
      <rPr>
        <sz val="11"/>
        <color rgb="FF000000"/>
        <rFont val="Times New Roman"/>
        <charset val="1"/>
      </rPr>
      <t>737·</t>
    </r>
    <r>
      <rPr>
        <sz val="11"/>
        <color rgb="FF000000"/>
        <rFont val="SimSun"/>
        <charset val="134"/>
      </rPr>
      <t>窄体机</t>
    </r>
  </si>
  <si>
    <r>
      <rPr>
        <sz val="11"/>
        <color rgb="FF000000"/>
        <rFont val="SimSun"/>
        <charset val="134"/>
      </rPr>
      <t>成田</t>
    </r>
    <r>
      <rPr>
        <sz val="11"/>
        <color rgb="FF000000"/>
        <rFont val="Times New Roman"/>
        <charset val="1"/>
      </rPr>
      <t>T3-</t>
    </r>
    <r>
      <rPr>
        <sz val="11"/>
        <color rgb="FF000000"/>
        <rFont val="SimSun"/>
        <charset val="134"/>
      </rPr>
      <t>栎社</t>
    </r>
    <r>
      <rPr>
        <sz val="11"/>
        <color rgb="FF000000"/>
        <rFont val="Times New Roman"/>
        <charset val="1"/>
      </rPr>
      <t>T2</t>
    </r>
  </si>
  <si>
    <t>春秋日本</t>
  </si>
  <si>
    <r>
      <rPr>
        <sz val="11"/>
        <color rgb="FF000000"/>
        <rFont val="SimSun"/>
        <charset val="134"/>
      </rPr>
      <t>西退</t>
    </r>
    <r>
      <rPr>
        <sz val="11"/>
        <color rgb="FF000000"/>
        <rFont val="Times New Roman"/>
        <charset val="1"/>
      </rPr>
      <t>1</t>
    </r>
    <r>
      <rPr>
        <sz val="11"/>
        <color rgb="FF000000"/>
        <rFont val="SimSun"/>
        <charset val="134"/>
      </rPr>
      <t>时</t>
    </r>
  </si>
  <si>
    <t>09:21-10:29</t>
  </si>
  <si>
    <t>Access-TokkyuNarita Airport Terminal 1,Narita Airport Terminal 1</t>
  </si>
  <si>
    <t>东京</t>
  </si>
  <si>
    <t>Asakusa Line,Keisei Narita Skyaccess</t>
  </si>
  <si>
    <r>
      <rPr>
        <sz val="11"/>
        <color rgb="FF000000"/>
        <rFont val="Times New Roman"/>
        <charset val="1"/>
      </rPr>
      <t>Asakusa-Narita Airport Terminal 2</t>
    </r>
    <r>
      <rPr>
        <sz val="11"/>
        <color rgb="FF000000"/>
        <rFont val="Microsoft YaHei"/>
        <charset val="128"/>
      </rPr>
      <t>･</t>
    </r>
    <r>
      <rPr>
        <sz val="11"/>
        <color rgb="FF000000"/>
        <rFont val="Times New Roman"/>
        <charset val="1"/>
      </rPr>
      <t>3</t>
    </r>
  </si>
  <si>
    <t>Tokyo Metropolitan Bureau of Transportation</t>
  </si>
  <si>
    <t>20:31-20:48</t>
  </si>
  <si>
    <t>Local Asakusa</t>
  </si>
  <si>
    <t>Ginza Line</t>
  </si>
  <si>
    <t>Shimbashi-Tawaramachi</t>
  </si>
  <si>
    <r>
      <rPr>
        <sz val="11"/>
        <color rgb="FF000000"/>
        <rFont val="Times New Roman"/>
        <charset val="1"/>
      </rPr>
      <t>17</t>
    </r>
    <r>
      <rPr>
        <sz val="11"/>
        <color rgb="FF000000"/>
        <rFont val="SimSun"/>
        <charset val="134"/>
      </rPr>
      <t>分</t>
    </r>
  </si>
  <si>
    <r>
      <rPr>
        <sz val="11"/>
        <color rgb="FF000000"/>
        <rFont val="SimSun"/>
        <charset val="134"/>
      </rPr>
      <t>東京</t>
    </r>
    <r>
      <rPr>
        <sz val="11"/>
        <color rgb="FF000000"/>
        <rFont val="SimSun"/>
        <charset val="128"/>
      </rPr>
      <t>メトロ</t>
    </r>
  </si>
  <si>
    <t>19:40-20:24</t>
  </si>
  <si>
    <t>Local Utsunomiya</t>
  </si>
  <si>
    <t>藤泽</t>
  </si>
  <si>
    <t>Tōkaidō Line</t>
  </si>
  <si>
    <t>Fujisawa-Shimbashi</t>
  </si>
  <si>
    <r>
      <rPr>
        <sz val="11"/>
        <color rgb="FF000000"/>
        <rFont val="Times New Roman"/>
        <charset val="1"/>
      </rPr>
      <t>44</t>
    </r>
    <r>
      <rPr>
        <sz val="11"/>
        <color rgb="FF000000"/>
        <rFont val="SimSun"/>
        <charset val="134"/>
      </rPr>
      <t>分</t>
    </r>
  </si>
  <si>
    <t>East Japan Railway</t>
  </si>
  <si>
    <t>19:22-19:31</t>
  </si>
  <si>
    <t>Local Fujisawa</t>
  </si>
  <si>
    <t>江之岛</t>
  </si>
  <si>
    <t>Enoden Line</t>
  </si>
  <si>
    <t>Enoshima-Fujisawa</t>
  </si>
  <si>
    <r>
      <rPr>
        <sz val="11"/>
        <color rgb="FF000000"/>
        <rFont val="Times New Roman"/>
        <charset val="1"/>
      </rPr>
      <t>9</t>
    </r>
    <r>
      <rPr>
        <sz val="11"/>
        <color rgb="FF000000"/>
        <rFont val="SimSun"/>
        <charset val="1"/>
      </rPr>
      <t>分</t>
    </r>
  </si>
  <si>
    <r>
      <rPr>
        <sz val="11"/>
        <color rgb="FF000000"/>
        <rFont val="SimSun"/>
        <charset val="134"/>
      </rPr>
      <t>江</t>
    </r>
    <r>
      <rPr>
        <sz val="11"/>
        <color rgb="FF000000"/>
        <rFont val="Microsoft YaHei"/>
        <charset val="128"/>
      </rPr>
      <t>ﾉ</t>
    </r>
    <r>
      <rPr>
        <sz val="11"/>
        <color rgb="FF000000"/>
        <rFont val="SimSun"/>
        <charset val="134"/>
      </rPr>
      <t>电</t>
    </r>
    <r>
      <rPr>
        <sz val="11"/>
        <color rgb="FF000000"/>
        <rFont val="宋体"/>
        <charset val="1"/>
      </rPr>
      <t xml:space="preserve"> </t>
    </r>
    <r>
      <rPr>
        <sz val="11"/>
        <color rgb="FF000000"/>
        <rFont val="Microsoft YaHei"/>
        <charset val="128"/>
      </rPr>
      <t>ﾊﾞｽ</t>
    </r>
  </si>
  <si>
    <t>15:57-16:21</t>
  </si>
  <si>
    <t>镰仓</t>
  </si>
  <si>
    <t>长谷（神奈川）-湘南海岸公园</t>
  </si>
  <si>
    <r>
      <rPr>
        <sz val="11"/>
        <color rgb="FF000000"/>
        <rFont val="Times New Roman"/>
        <charset val="1"/>
      </rPr>
      <t>24</t>
    </r>
    <r>
      <rPr>
        <sz val="11"/>
        <color rgb="FF000000"/>
        <rFont val="宋体-简"/>
        <charset val="1"/>
      </rPr>
      <t>分</t>
    </r>
  </si>
  <si>
    <t>20:32-20:42</t>
  </si>
  <si>
    <t>Local Kamakura</t>
  </si>
  <si>
    <t>Fujisawa-Enoshima</t>
  </si>
  <si>
    <r>
      <rPr>
        <sz val="11"/>
        <color rgb="FF000000"/>
        <rFont val="Times New Roman"/>
        <charset val="1"/>
      </rPr>
      <t>10</t>
    </r>
    <r>
      <rPr>
        <sz val="11"/>
        <color rgb="FF000000"/>
        <rFont val="SimSun"/>
        <charset val="134"/>
      </rPr>
      <t>分</t>
    </r>
  </si>
  <si>
    <t>17:50-20:30</t>
  </si>
  <si>
    <t>Fujisawa Eki Kitaguchi</t>
  </si>
  <si>
    <t>河口湖</t>
  </si>
  <si>
    <r>
      <rPr>
        <sz val="11"/>
        <color rgb="FF000000"/>
        <rFont val="SimSun"/>
        <charset val="134"/>
      </rPr>
      <t>藤沢</t>
    </r>
    <r>
      <rPr>
        <sz val="11"/>
        <color rgb="FF000000"/>
        <rFont val="Microsoft YaHei"/>
        <charset val="128"/>
      </rPr>
      <t>・</t>
    </r>
    <r>
      <rPr>
        <sz val="11"/>
        <color rgb="FF000000"/>
        <rFont val="SimSun"/>
        <charset val="134"/>
      </rPr>
      <t>辻堂</t>
    </r>
    <r>
      <rPr>
        <sz val="11"/>
        <color rgb="FF000000"/>
        <rFont val="Microsoft YaHei"/>
        <charset val="128"/>
      </rPr>
      <t>・</t>
    </r>
    <r>
      <rPr>
        <sz val="11"/>
        <color rgb="FF000000"/>
        <rFont val="SimSun"/>
        <charset val="134"/>
      </rPr>
      <t>本厚木～河口湖</t>
    </r>
  </si>
  <si>
    <t>Kawaguchiko Eki-Fujisawa Eki Kitaguchi</t>
  </si>
  <si>
    <t>神奈川中央交通西</t>
  </si>
  <si>
    <t>09:12-09:32</t>
  </si>
  <si>
    <t>To Shinfuji-eki</t>
  </si>
  <si>
    <t>富士山</t>
  </si>
  <si>
    <t>新富士</t>
  </si>
  <si>
    <t>Mt. Fuji Station-Shin Fuji Station</t>
  </si>
  <si>
    <t>Kodachi iriguchi-Lake Saiko Ent.</t>
  </si>
  <si>
    <t>20分</t>
  </si>
  <si>
    <r>
      <rPr>
        <sz val="11"/>
        <color rgb="FF000000"/>
        <rFont val="SimSun"/>
        <charset val="134"/>
      </rPr>
      <t>富士急</t>
    </r>
    <r>
      <rPr>
        <sz val="11"/>
        <color rgb="FF000000"/>
        <rFont val="SimSun"/>
        <charset val="128"/>
      </rPr>
      <t>バス</t>
    </r>
    <r>
      <rPr>
        <sz val="11"/>
        <color rgb="FF000000"/>
        <rFont val="SimSun"/>
        <charset val="134"/>
      </rPr>
      <t>株式会社</t>
    </r>
  </si>
  <si>
    <t>15:08-15:31</t>
  </si>
  <si>
    <t>To Mt.Fuji Station</t>
  </si>
  <si>
    <t>富士山五合目</t>
  </si>
  <si>
    <t>Mt. Fuji Gogome (Fifth Station) -Kawa Station-Mt. Fuji Station</t>
  </si>
  <si>
    <t>Sangome-Fujisansekaiisansenta</t>
  </si>
  <si>
    <r>
      <rPr>
        <sz val="11"/>
        <color rgb="FF000000"/>
        <rFont val="Times New Roman"/>
        <charset val="1"/>
      </rPr>
      <t>23</t>
    </r>
    <r>
      <rPr>
        <sz val="11"/>
        <color rgb="FF000000"/>
        <rFont val="SimSun"/>
        <charset val="134"/>
      </rPr>
      <t>分</t>
    </r>
  </si>
  <si>
    <t>10:43-11:30</t>
  </si>
  <si>
    <t>To Fuji-Subaru Line 5th Station</t>
  </si>
  <si>
    <t>Mt. Fuji Station-Kawa Station-Mt. Fuji Gogome (Fifth Station)</t>
  </si>
  <si>
    <t>Fujikawaguchi kokoko-Fuji Subaru Line 5th Station</t>
  </si>
  <si>
    <t>13:20-14:50</t>
  </si>
  <si>
    <t>0013Service 1 Car Fujikyu City Bus</t>
  </si>
  <si>
    <t>三岛</t>
  </si>
  <si>
    <t>High-speed shared bus</t>
  </si>
  <si>
    <t>Kawaguchiko Station-Kawaguchiko Eki</t>
  </si>
  <si>
    <t>Fujikyu City Bus</t>
  </si>
  <si>
    <t>淘宝代购</t>
  </si>
  <si>
    <t>10:08-11:49</t>
  </si>
  <si>
    <t>KODAMA 712 Kodama Tokyo</t>
  </si>
  <si>
    <t>名古屋</t>
  </si>
  <si>
    <t>Tokaido Shinkansen</t>
  </si>
  <si>
    <t>NAGOYA-MISHIMA</t>
  </si>
  <si>
    <r>
      <rPr>
        <sz val="11"/>
        <color rgb="FF000000"/>
        <rFont val="Times New Roman"/>
        <charset val="1"/>
      </rPr>
      <t>7</t>
    </r>
    <r>
      <rPr>
        <sz val="11"/>
        <color rgb="FF000000"/>
        <rFont val="SimSun"/>
        <charset val="134"/>
      </rPr>
      <t>车</t>
    </r>
    <r>
      <rPr>
        <sz val="11"/>
        <color rgb="FF000000"/>
        <rFont val="Times New Roman"/>
        <charset val="1"/>
      </rPr>
      <t>3-E</t>
    </r>
  </si>
  <si>
    <t>Central Japan Railway</t>
  </si>
  <si>
    <t>09:30-10:04</t>
  </si>
  <si>
    <t>Nozomi 114 Nozomi Tokyo</t>
  </si>
  <si>
    <t>京都</t>
  </si>
  <si>
    <t>Kyoto-NAGOYA</t>
  </si>
  <si>
    <r>
      <rPr>
        <sz val="11"/>
        <color rgb="FF000000"/>
        <rFont val="Times New Roman"/>
        <charset val="1"/>
      </rPr>
      <t>34</t>
    </r>
    <r>
      <rPr>
        <sz val="11"/>
        <color rgb="FF000000"/>
        <rFont val="SimSun"/>
        <charset val="134"/>
      </rPr>
      <t>分</t>
    </r>
  </si>
  <si>
    <r>
      <rPr>
        <sz val="11"/>
        <color rgb="FF000000"/>
        <rFont val="Times New Roman"/>
        <charset val="1"/>
      </rPr>
      <t>11</t>
    </r>
    <r>
      <rPr>
        <sz val="11"/>
        <color rgb="FF000000"/>
        <rFont val="SimSun"/>
        <charset val="134"/>
      </rPr>
      <t>车</t>
    </r>
    <r>
      <rPr>
        <sz val="11"/>
        <color rgb="FF000000"/>
        <rFont val="Times New Roman"/>
        <charset val="1"/>
      </rPr>
      <t>2-E</t>
    </r>
  </si>
  <si>
    <t>18:23-18:45</t>
  </si>
  <si>
    <t>Local Kyoto</t>
  </si>
  <si>
    <t>宇治</t>
  </si>
  <si>
    <t>Nara Line</t>
  </si>
  <si>
    <t>Uji-Kyoto</t>
  </si>
  <si>
    <r>
      <rPr>
        <sz val="11"/>
        <color rgb="FF000000"/>
        <rFont val="Times New Roman"/>
        <charset val="1"/>
      </rPr>
      <t>22</t>
    </r>
    <r>
      <rPr>
        <sz val="11"/>
        <color rgb="FF000000"/>
        <rFont val="SimSun"/>
        <charset val="134"/>
      </rPr>
      <t>分</t>
    </r>
  </si>
  <si>
    <t>West Japan Railway</t>
  </si>
  <si>
    <t>15:24-16:02</t>
  </si>
  <si>
    <t>奈良</t>
  </si>
  <si>
    <t>Nara-Uji</t>
  </si>
  <si>
    <r>
      <rPr>
        <sz val="11"/>
        <color rgb="FF000000"/>
        <rFont val="Times New Roman"/>
        <charset val="1"/>
      </rPr>
      <t>38</t>
    </r>
    <r>
      <rPr>
        <sz val="11"/>
        <color rgb="FF000000"/>
        <rFont val="SimSun"/>
        <charset val="134"/>
      </rPr>
      <t>分</t>
    </r>
  </si>
  <si>
    <t>09:01-09:38</t>
  </si>
  <si>
    <t>Kintetsu-Nara Line</t>
  </si>
  <si>
    <t>大阪</t>
  </si>
  <si>
    <t>Rapid-Express Kintetsu-Nara</t>
  </si>
  <si>
    <t>Osaka Namba-Kintetsu Nara</t>
  </si>
  <si>
    <r>
      <rPr>
        <sz val="11"/>
        <color rgb="FF000000"/>
        <rFont val="Times New Roman"/>
        <charset val="1"/>
      </rPr>
      <t>37</t>
    </r>
    <r>
      <rPr>
        <sz val="11"/>
        <color rgb="FF000000"/>
        <rFont val="SimSun"/>
        <charset val="134"/>
      </rPr>
      <t>分</t>
    </r>
  </si>
  <si>
    <t>近畿日本鉄道</t>
  </si>
  <si>
    <t>15:48-16:34</t>
  </si>
  <si>
    <t>Rapid-ExpressKintetsu-Nara,Kintetsu-Nara</t>
  </si>
  <si>
    <t>神户</t>
  </si>
  <si>
    <t>Hanshin Line,Hanshin-Namba Line</t>
  </si>
  <si>
    <t>Hanakuma-Osaka Namba</t>
  </si>
  <si>
    <r>
      <rPr>
        <sz val="11"/>
        <color rgb="FF000000"/>
        <rFont val="Times New Roman"/>
        <charset val="1"/>
      </rPr>
      <t>46</t>
    </r>
    <r>
      <rPr>
        <sz val="11"/>
        <color rgb="FF000000"/>
        <rFont val="SimSun"/>
        <charset val="134"/>
      </rPr>
      <t>分</t>
    </r>
  </si>
  <si>
    <t>Hanshin Electric Railway</t>
  </si>
  <si>
    <t>水路</t>
  </si>
  <si>
    <t>18:00-18:30</t>
  </si>
  <si>
    <t>Kobe-Kansai Airpot Bay Shuttle</t>
  </si>
  <si>
    <t>大阪关西</t>
  </si>
  <si>
    <t>Kansai Airport-Kobe Airport</t>
  </si>
  <si>
    <r>
      <rPr>
        <sz val="11"/>
        <color rgb="FF000000"/>
        <rFont val="Times New Roman"/>
        <charset val="1"/>
      </rPr>
      <t>30</t>
    </r>
    <r>
      <rPr>
        <sz val="11"/>
        <color rgb="FF000000"/>
        <rFont val="SimSun"/>
        <charset val="134"/>
      </rPr>
      <t>分</t>
    </r>
  </si>
  <si>
    <t>13:15-16:45</t>
  </si>
  <si>
    <t>9C6603</t>
  </si>
  <si>
    <r>
      <rPr>
        <sz val="11"/>
        <color rgb="FF000000"/>
        <rFont val="SimSun"/>
        <charset val="134"/>
      </rPr>
      <t>空客</t>
    </r>
    <r>
      <rPr>
        <sz val="11"/>
        <color rgb="FF000000"/>
        <rFont val="Times New Roman"/>
        <charset val="1"/>
      </rPr>
      <t>320-200·</t>
    </r>
    <r>
      <rPr>
        <sz val="11"/>
        <color rgb="FF000000"/>
        <rFont val="SimSun"/>
        <charset val="134"/>
      </rPr>
      <t>窄体机</t>
    </r>
  </si>
  <si>
    <r>
      <rPr>
        <sz val="11"/>
        <color rgb="FF000000"/>
        <rFont val="宋体"/>
        <charset val="134"/>
      </rPr>
      <t>栎社</t>
    </r>
    <r>
      <rPr>
        <sz val="11"/>
        <color rgb="FF000000"/>
        <rFont val="Times New Roman"/>
        <charset val="1"/>
      </rPr>
      <t>T2-</t>
    </r>
    <r>
      <rPr>
        <sz val="11"/>
        <color rgb="FF000000"/>
        <rFont val="宋体"/>
        <charset val="134"/>
      </rPr>
      <t>关西</t>
    </r>
    <r>
      <rPr>
        <sz val="11"/>
        <color rgb="FF000000"/>
        <rFont val="Times New Roman"/>
        <charset val="1"/>
      </rPr>
      <t>T2</t>
    </r>
  </si>
  <si>
    <r>
      <rPr>
        <sz val="11"/>
        <color rgb="FF000000"/>
        <rFont val="SimSun"/>
        <charset val="134"/>
      </rPr>
      <t>返程</t>
    </r>
    <r>
      <rPr>
        <sz val="11"/>
        <color rgb="FF000000"/>
        <rFont val="Times New Roman"/>
        <charset val="1"/>
      </rPr>
      <t>491</t>
    </r>
    <r>
      <rPr>
        <sz val="11"/>
        <color rgb="FF000000"/>
        <rFont val="SimSun"/>
        <charset val="134"/>
      </rPr>
      <t>退票费</t>
    </r>
    <r>
      <rPr>
        <sz val="11"/>
        <color rgb="FF000000"/>
        <rFont val="Times New Roman"/>
        <charset val="1"/>
      </rPr>
      <t>140</t>
    </r>
    <r>
      <rPr>
        <sz val="11"/>
        <color rgb="FF000000"/>
        <rFont val="SimSun"/>
        <charset val="134"/>
      </rPr>
      <t>；东进1时</t>
    </r>
  </si>
  <si>
    <t>09:03-11:15</t>
  </si>
  <si>
    <t>8044</t>
  </si>
  <si>
    <r>
      <rPr>
        <sz val="11"/>
        <color rgb="FF000000"/>
        <rFont val="SimSun"/>
        <charset val="134"/>
      </rPr>
      <t>新城汽车客运站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SimSun"/>
        <charset val="134"/>
      </rPr>
      <t>宁波栎社机场</t>
    </r>
  </si>
  <si>
    <r>
      <rPr>
        <sz val="11"/>
        <color rgb="FF000000"/>
        <rFont val="Times New Roman"/>
        <charset val="1"/>
      </rPr>
      <t>2</t>
    </r>
    <r>
      <rPr>
        <sz val="11"/>
        <color rgb="FF000000"/>
        <rFont val="SimSun"/>
        <charset val="134"/>
      </rPr>
      <t>时</t>
    </r>
  </si>
  <si>
    <t>3</t>
  </si>
  <si>
    <t>17:00-23:00</t>
  </si>
  <si>
    <t>租车</t>
  </si>
  <si>
    <t>杭州滨江</t>
  </si>
  <si>
    <r>
      <rPr>
        <sz val="10.5"/>
        <color rgb="FF000000"/>
        <rFont val="宋体"/>
        <charset val="134"/>
      </rPr>
      <t>杭州</t>
    </r>
    <r>
      <rPr>
        <sz val="10.5"/>
        <color rgb="FF000000"/>
        <rFont val="Times New Roman"/>
        <charset val="1"/>
      </rPr>
      <t>-</t>
    </r>
    <r>
      <rPr>
        <sz val="10.5"/>
        <color rgb="FF000000"/>
        <rFont val="宋体"/>
        <charset val="134"/>
      </rPr>
      <t>舟山</t>
    </r>
  </si>
  <si>
    <t>参加环舟山，经宁波取车</t>
  </si>
  <si>
    <t>19:38-20:42</t>
  </si>
  <si>
    <t>D3146</t>
  </si>
  <si>
    <t>南昌西</t>
  </si>
  <si>
    <t>上海虹桥</t>
  </si>
  <si>
    <r>
      <rPr>
        <sz val="11"/>
        <color rgb="FF000000"/>
        <rFont val="宋体"/>
        <charset val="134"/>
      </rPr>
      <t>动车组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和谐号</t>
    </r>
  </si>
  <si>
    <r>
      <rPr>
        <sz val="11"/>
        <color rgb="FF000000"/>
        <rFont val="宋体"/>
        <charset val="134"/>
      </rPr>
      <t>宁波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杭州东</t>
    </r>
  </si>
  <si>
    <t>9B</t>
  </si>
  <si>
    <r>
      <rPr>
        <sz val="10.5"/>
        <color rgb="FF000000"/>
        <rFont val="Times New Roman"/>
        <charset val="1"/>
      </rPr>
      <t>07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05A</t>
    </r>
  </si>
  <si>
    <t>南昌局</t>
  </si>
  <si>
    <t>积分兑换</t>
  </si>
  <si>
    <t>自行车</t>
  </si>
  <si>
    <t>08:20-17:03</t>
  </si>
  <si>
    <t>PCR-LTD2</t>
  </si>
  <si>
    <t>杭州萧山</t>
  </si>
  <si>
    <r>
      <rPr>
        <sz val="10.5"/>
        <color rgb="FF000000"/>
        <rFont val="宋体"/>
        <charset val="134"/>
      </rPr>
      <t>杭州</t>
    </r>
    <r>
      <rPr>
        <sz val="10.5"/>
        <color rgb="FF000000"/>
        <rFont val="Times New Roman"/>
        <charset val="1"/>
      </rPr>
      <t>-</t>
    </r>
    <r>
      <rPr>
        <sz val="10.5"/>
        <color rgb="FF000000"/>
        <rFont val="宋体"/>
        <charset val="134"/>
      </rPr>
      <t>宁波</t>
    </r>
  </si>
  <si>
    <t>参加环舟山</t>
  </si>
  <si>
    <t>18:30-20:06</t>
  </si>
  <si>
    <t>CA1734</t>
  </si>
  <si>
    <t>深圳宝安</t>
  </si>
  <si>
    <r>
      <rPr>
        <sz val="10.5"/>
        <color rgb="FF000000"/>
        <rFont val="宋体"/>
        <charset val="134"/>
      </rPr>
      <t>空客</t>
    </r>
    <r>
      <rPr>
        <sz val="10.5"/>
        <color rgb="FF000000"/>
        <rFont val="Times New Roman"/>
        <charset val="1"/>
      </rPr>
      <t>320-232(SL)</t>
    </r>
  </si>
  <si>
    <r>
      <rPr>
        <sz val="11"/>
        <color rgb="FF000000"/>
        <rFont val="宋体"/>
        <charset val="134"/>
      </rPr>
      <t>宝安</t>
    </r>
    <r>
      <rPr>
        <sz val="11"/>
        <color rgb="FF000000"/>
        <rFont val="Times New Roman"/>
        <charset val="1"/>
      </rPr>
      <t>T3-</t>
    </r>
    <r>
      <rPr>
        <sz val="11"/>
        <color rgb="FF000000"/>
        <rFont val="宋体"/>
        <charset val="134"/>
      </rPr>
      <t>萧山</t>
    </r>
    <r>
      <rPr>
        <sz val="11"/>
        <color rgb="FF000000"/>
        <rFont val="Times New Roman"/>
        <charset val="1"/>
      </rPr>
      <t>T4</t>
    </r>
  </si>
  <si>
    <t>568B</t>
  </si>
  <si>
    <t>21A</t>
  </si>
  <si>
    <t>中国国航</t>
  </si>
  <si>
    <t>香港行返程</t>
  </si>
  <si>
    <t>21:15-07:24(+1)</t>
  </si>
  <si>
    <t>G899</t>
  </si>
  <si>
    <t>香港西九龙</t>
  </si>
  <si>
    <r>
      <rPr>
        <sz val="11"/>
        <color rgb="FF000000"/>
        <rFont val="宋体"/>
        <charset val="134"/>
      </rPr>
      <t>高速动车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复兴号</t>
    </r>
  </si>
  <si>
    <r>
      <rPr>
        <sz val="11"/>
        <color rgb="FF000000"/>
        <rFont val="宋体"/>
        <charset val="134"/>
      </rPr>
      <t>杭州东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香港西九龙</t>
    </r>
  </si>
  <si>
    <t>25B</t>
  </si>
  <si>
    <r>
      <rPr>
        <sz val="10.5"/>
        <color rgb="FF000000"/>
        <rFont val="Times New Roman"/>
        <charset val="1"/>
      </rPr>
      <t>09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032</t>
    </r>
    <r>
      <rPr>
        <sz val="11"/>
        <color rgb="FF000000"/>
        <rFont val="宋体"/>
        <charset val="134"/>
      </rPr>
      <t>号上铺</t>
    </r>
  </si>
  <si>
    <t>广州局</t>
  </si>
  <si>
    <t>香港行去程</t>
  </si>
  <si>
    <t>15:03-16:13</t>
  </si>
  <si>
    <t>D3101</t>
  </si>
  <si>
    <t>福州</t>
  </si>
  <si>
    <r>
      <rPr>
        <sz val="11"/>
        <color rgb="FF000000"/>
        <rFont val="宋体"/>
        <charset val="134"/>
      </rPr>
      <t>上海虹桥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杭州东</t>
    </r>
  </si>
  <si>
    <t>15AB</t>
  </si>
  <si>
    <r>
      <rPr>
        <sz val="10.5"/>
        <color rgb="FF000000"/>
        <rFont val="Times New Roman"/>
        <charset val="1"/>
      </rPr>
      <t>07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11C</t>
    </r>
  </si>
  <si>
    <r>
      <rPr>
        <sz val="11"/>
        <color rgb="FF000000"/>
        <rFont val="宋体"/>
        <charset val="134"/>
      </rPr>
      <t>积分兑换</t>
    </r>
    <r>
      <rPr>
        <sz val="11"/>
        <color rgb="FF000000"/>
        <rFont val="Times New Roman"/>
        <charset val="1"/>
      </rPr>
      <t>+</t>
    </r>
    <r>
      <rPr>
        <sz val="11"/>
        <color rgb="FF000000"/>
        <rFont val="宋体"/>
        <charset val="134"/>
      </rPr>
      <t>积分改签</t>
    </r>
  </si>
  <si>
    <t>18:19-19:15</t>
  </si>
  <si>
    <t>G9508</t>
  </si>
  <si>
    <r>
      <rPr>
        <sz val="11"/>
        <color rgb="FF000000"/>
        <rFont val="宋体"/>
        <charset val="134"/>
      </rPr>
      <t>高速动车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和谐号</t>
    </r>
  </si>
  <si>
    <r>
      <rPr>
        <sz val="11"/>
        <color rgb="FF000000"/>
        <rFont val="宋体"/>
        <charset val="134"/>
      </rPr>
      <t>杭州东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上海虹桥</t>
    </r>
  </si>
  <si>
    <r>
      <rPr>
        <sz val="10.5"/>
        <color rgb="FF000000"/>
        <rFont val="Times New Roman"/>
        <charset val="1"/>
      </rPr>
      <t>56</t>
    </r>
    <r>
      <rPr>
        <sz val="11"/>
        <color rgb="FF000000"/>
        <rFont val="宋体"/>
        <charset val="134"/>
      </rPr>
      <t>分</t>
    </r>
  </si>
  <si>
    <r>
      <rPr>
        <sz val="10.5"/>
        <color rgb="FF000000"/>
        <rFont val="Times New Roman"/>
        <charset val="1"/>
      </rPr>
      <t>14</t>
    </r>
    <r>
      <rPr>
        <sz val="11"/>
        <color rgb="FF000000"/>
        <rFont val="宋体"/>
        <charset val="134"/>
      </rPr>
      <t>、</t>
    </r>
    <r>
      <rPr>
        <sz val="11"/>
        <color rgb="FF000000"/>
        <rFont val="Times New Roman"/>
        <charset val="1"/>
      </rPr>
      <t>15</t>
    </r>
  </si>
  <si>
    <r>
      <rPr>
        <sz val="10.5"/>
        <color rgb="FF000000"/>
        <rFont val="Times New Roman"/>
        <charset val="1"/>
      </rPr>
      <t>08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08F</t>
    </r>
  </si>
  <si>
    <t>上海局</t>
  </si>
  <si>
    <t>办通行证</t>
  </si>
  <si>
    <r>
      <rPr>
        <sz val="10.5"/>
        <color rgb="FF000000"/>
        <rFont val="Times New Roman"/>
        <charset val="1"/>
      </rPr>
      <t>05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10C</t>
    </r>
  </si>
  <si>
    <t>21:01-21:57</t>
  </si>
  <si>
    <t>D2125</t>
  </si>
  <si>
    <t>青岛北</t>
  </si>
  <si>
    <t>宁波</t>
  </si>
  <si>
    <t>21AB</t>
  </si>
  <si>
    <r>
      <rPr>
        <sz val="10.5"/>
        <color rgb="FF000000"/>
        <rFont val="Times New Roman"/>
        <charset val="1"/>
      </rPr>
      <t>10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17F</t>
    </r>
  </si>
  <si>
    <t>改签费</t>
  </si>
  <si>
    <t>08:34-09:34</t>
  </si>
  <si>
    <t>G7580</t>
  </si>
  <si>
    <t>黄山北站</t>
  </si>
  <si>
    <t>扬州站</t>
  </si>
  <si>
    <t>17A</t>
  </si>
  <si>
    <r>
      <rPr>
        <sz val="10.5"/>
        <color rgb="FF000000"/>
        <rFont val="Times New Roman"/>
        <charset val="1"/>
      </rPr>
      <t>02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10D</t>
    </r>
  </si>
  <si>
    <r>
      <rPr>
        <sz val="10.5"/>
        <color rgb="FF000000"/>
        <rFont val="宋体"/>
        <charset val="134"/>
      </rPr>
      <t>落户</t>
    </r>
    <r>
      <rPr>
        <sz val="10.5"/>
        <color rgb="FF000000"/>
        <rFont val="Times New Roman"/>
        <charset val="1"/>
      </rPr>
      <t>2</t>
    </r>
    <r>
      <rPr>
        <sz val="10.5"/>
        <color rgb="FF000000"/>
        <rFont val="宋体"/>
        <charset val="134"/>
      </rPr>
      <t>，积分兑换</t>
    </r>
  </si>
  <si>
    <r>
      <rPr>
        <sz val="10.5"/>
        <color rgb="FF000000"/>
        <rFont val="Times New Roman"/>
        <charset val="1"/>
      </rPr>
      <t>20</t>
    </r>
    <r>
      <rPr>
        <sz val="11"/>
        <color rgb="FF000000"/>
        <rFont val="宋体"/>
        <charset val="134"/>
      </rPr>
      <t>、</t>
    </r>
    <r>
      <rPr>
        <sz val="11"/>
        <color rgb="FF000000"/>
        <rFont val="Times New Roman"/>
        <charset val="1"/>
      </rPr>
      <t>21</t>
    </r>
  </si>
  <si>
    <r>
      <rPr>
        <sz val="10.5"/>
        <color rgb="FF000000"/>
        <rFont val="Times New Roman"/>
        <charset val="1"/>
      </rPr>
      <t>05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05C</t>
    </r>
  </si>
  <si>
    <r>
      <rPr>
        <sz val="10.5"/>
        <color rgb="FF000000"/>
        <rFont val="Times New Roman"/>
        <charset val="1"/>
      </rPr>
      <t>13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12D</t>
    </r>
  </si>
  <si>
    <r>
      <rPr>
        <sz val="10.5"/>
        <color rgb="FF000000"/>
        <rFont val="宋体"/>
        <charset val="134"/>
      </rPr>
      <t>落户</t>
    </r>
    <r>
      <rPr>
        <sz val="10.5"/>
        <color rgb="FF000000"/>
        <rFont val="Times New Roman"/>
        <charset val="1"/>
      </rPr>
      <t>1</t>
    </r>
  </si>
  <si>
    <t>16:05-18:09</t>
  </si>
  <si>
    <t>CZ2190</t>
  </si>
  <si>
    <t>贵阳龙洞堡</t>
  </si>
  <si>
    <r>
      <rPr>
        <sz val="11"/>
        <color rgb="FF000000"/>
        <rFont val="宋体"/>
        <charset val="134"/>
      </rPr>
      <t>空客</t>
    </r>
    <r>
      <rPr>
        <sz val="11"/>
        <color rgb="FF000000"/>
        <rFont val="Times New Roman"/>
        <charset val="1"/>
      </rPr>
      <t>319-100</t>
    </r>
  </si>
  <si>
    <r>
      <rPr>
        <sz val="11"/>
        <color rgb="FF000000"/>
        <rFont val="宋体"/>
        <charset val="134"/>
      </rPr>
      <t>龙洞堡</t>
    </r>
    <r>
      <rPr>
        <sz val="11"/>
        <color rgb="FF000000"/>
        <rFont val="Times New Roman"/>
        <charset val="1"/>
      </rPr>
      <t>T3-</t>
    </r>
    <r>
      <rPr>
        <sz val="11"/>
        <color rgb="FF000000"/>
        <rFont val="宋体"/>
        <charset val="134"/>
      </rPr>
      <t>萧山</t>
    </r>
    <r>
      <rPr>
        <sz val="11"/>
        <color rgb="FF000000"/>
        <rFont val="Times New Roman"/>
        <charset val="1"/>
      </rPr>
      <t>T4</t>
    </r>
  </si>
  <si>
    <t>404</t>
  </si>
  <si>
    <t>38K</t>
  </si>
  <si>
    <t>南方航空</t>
  </si>
  <si>
    <t>08:52-10:54</t>
  </si>
  <si>
    <t>CA1749</t>
  </si>
  <si>
    <r>
      <rPr>
        <sz val="11"/>
        <color rgb="FF000000"/>
        <rFont val="宋体"/>
        <charset val="134"/>
      </rPr>
      <t>空客</t>
    </r>
    <r>
      <rPr>
        <sz val="11"/>
        <color rgb="FF000000"/>
        <rFont val="Times New Roman"/>
        <charset val="1"/>
      </rPr>
      <t>321-200</t>
    </r>
  </si>
  <si>
    <r>
      <rPr>
        <sz val="11"/>
        <color rgb="FF000000"/>
        <rFont val="宋体"/>
        <charset val="134"/>
      </rPr>
      <t>萧山</t>
    </r>
    <r>
      <rPr>
        <sz val="11"/>
        <color rgb="FF000000"/>
        <rFont val="Times New Roman"/>
        <charset val="1"/>
      </rPr>
      <t>T4-</t>
    </r>
    <r>
      <rPr>
        <sz val="11"/>
        <color rgb="FF000000"/>
        <rFont val="宋体"/>
        <charset val="134"/>
      </rPr>
      <t>龙洞堡</t>
    </r>
    <r>
      <rPr>
        <sz val="11"/>
        <color rgb="FF000000"/>
        <rFont val="Times New Roman"/>
        <charset val="1"/>
      </rPr>
      <t>T3</t>
    </r>
  </si>
  <si>
    <t>402</t>
  </si>
  <si>
    <t>23A</t>
  </si>
  <si>
    <t>18:04-22:58</t>
  </si>
  <si>
    <t>TR188</t>
  </si>
  <si>
    <t>新加坡樟宜</t>
  </si>
  <si>
    <r>
      <rPr>
        <sz val="11"/>
        <color rgb="FF000000"/>
        <rFont val="宋体"/>
        <charset val="134"/>
      </rPr>
      <t>波音</t>
    </r>
    <r>
      <rPr>
        <sz val="11"/>
        <color rgb="FF000000"/>
        <rFont val="Times New Roman"/>
        <charset val="1"/>
      </rPr>
      <t>787-8</t>
    </r>
  </si>
  <si>
    <r>
      <rPr>
        <sz val="11"/>
        <color rgb="FF000000"/>
        <rFont val="宋体"/>
        <charset val="134"/>
      </rPr>
      <t>樟宜</t>
    </r>
    <r>
      <rPr>
        <sz val="11"/>
        <color rgb="FF000000"/>
        <rFont val="Times New Roman"/>
        <charset val="1"/>
      </rPr>
      <t>T1-</t>
    </r>
    <r>
      <rPr>
        <sz val="11"/>
        <color rgb="FF000000"/>
        <rFont val="宋体"/>
        <charset val="134"/>
      </rPr>
      <t>萧山</t>
    </r>
    <r>
      <rPr>
        <sz val="11"/>
        <color rgb="FF000000"/>
        <rFont val="Times New Roman"/>
        <charset val="1"/>
      </rPr>
      <t>T4</t>
    </r>
  </si>
  <si>
    <t>D44</t>
  </si>
  <si>
    <t>28J</t>
  </si>
  <si>
    <t>scoot</t>
  </si>
  <si>
    <t>07:30-12:00</t>
  </si>
  <si>
    <t>VV85</t>
  </si>
  <si>
    <t>Melaka Sentral</t>
  </si>
  <si>
    <t>Queen Street Bus Terminal</t>
  </si>
  <si>
    <t>BUS VV85</t>
  </si>
  <si>
    <t>Melaka Sentral-Queen Street Bus Terminal</t>
  </si>
  <si>
    <t>RM 80.15</t>
  </si>
  <si>
    <t>707 Travel Group</t>
  </si>
  <si>
    <t>14:30-16:30</t>
  </si>
  <si>
    <t>4723175</t>
  </si>
  <si>
    <t>KL (TBS)</t>
  </si>
  <si>
    <t>KKKL EXPRESS(TN)</t>
  </si>
  <si>
    <t>KL Sentral-Melaka Sentral</t>
  </si>
  <si>
    <t>12</t>
  </si>
  <si>
    <t>03</t>
  </si>
  <si>
    <t>RM 14.4</t>
  </si>
  <si>
    <t>KKKL GROUP</t>
  </si>
  <si>
    <t>16:40-19:14</t>
  </si>
  <si>
    <t>EP9277</t>
  </si>
  <si>
    <t>Ipoh</t>
  </si>
  <si>
    <t>KL Sentral</t>
  </si>
  <si>
    <t>ETS Platinum</t>
  </si>
  <si>
    <t>Ipoh-KL Sentral</t>
  </si>
  <si>
    <t>RM 46.0</t>
  </si>
  <si>
    <t>09:10-11:06</t>
  </si>
  <si>
    <t>2907</t>
  </si>
  <si>
    <t>Butterworth</t>
  </si>
  <si>
    <t>JADUAL WAKTU</t>
  </si>
  <si>
    <t>Butterworth-Ipoh</t>
  </si>
  <si>
    <t>RM 12.8</t>
  </si>
  <si>
    <t>09:30-12:30</t>
  </si>
  <si>
    <t>KTM KOMUTER</t>
  </si>
  <si>
    <t>Padang Besar (Thailand)</t>
  </si>
  <si>
    <t>Padang Besar (Thailand)-Butterworth</t>
  </si>
  <si>
    <t>RM 11.4</t>
  </si>
  <si>
    <t>KTMB</t>
  </si>
  <si>
    <t>购票机断网给了 THB 107</t>
  </si>
  <si>
    <t>16:10-07:59(+1)</t>
  </si>
  <si>
    <t>Train No. 45</t>
  </si>
  <si>
    <t>Krung Thep Aphiwat</t>
  </si>
  <si>
    <t>SPECIAL EXPRESS</t>
  </si>
  <si>
    <t>Krung Thep Aphiwat-Padang Besar (Thailand)</t>
  </si>
  <si>
    <t>THB 848</t>
  </si>
  <si>
    <t>18:00-06:50(+1)</t>
  </si>
  <si>
    <t>Train No. 10</t>
  </si>
  <si>
    <t>Chiang Mai</t>
  </si>
  <si>
    <t>SPECIAL EXPRESS CNR</t>
  </si>
  <si>
    <t>Chiang Mai-Krung Thep Aphiwat</t>
  </si>
  <si>
    <r>
      <rPr>
        <sz val="10.5"/>
        <color rgb="FF000000"/>
        <rFont val="Times New Roman"/>
        <charset val="1"/>
      </rPr>
      <t>6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29</t>
    </r>
    <r>
      <rPr>
        <sz val="11"/>
        <color rgb="FF000000"/>
        <rFont val="宋体"/>
        <charset val="134"/>
      </rPr>
      <t>号上</t>
    </r>
  </si>
  <si>
    <t>Railway of Thailand</t>
  </si>
  <si>
    <t>14:30-17:50</t>
  </si>
  <si>
    <t>209</t>
  </si>
  <si>
    <t>Chiang Rai BT1</t>
  </si>
  <si>
    <t>Chiang Mai BT3</t>
  </si>
  <si>
    <t>BUS</t>
  </si>
  <si>
    <t>Chiang Rai BT1-Chiang Mai BT3</t>
  </si>
  <si>
    <t>13,14</t>
  </si>
  <si>
    <t>4B</t>
  </si>
  <si>
    <t>Green Bus</t>
  </si>
  <si>
    <t>20:00-22:00</t>
  </si>
  <si>
    <t>TAXI</t>
  </si>
  <si>
    <t>Chiang Khong Customs</t>
  </si>
  <si>
    <t>Chiang Khong Custom-Chiang Rai BT1</t>
  </si>
  <si>
    <r>
      <rPr>
        <sz val="10.5"/>
        <color rgb="FF000000"/>
        <rFont val="Times New Roman"/>
        <charset val="1"/>
      </rPr>
      <t>2</t>
    </r>
    <r>
      <rPr>
        <sz val="11"/>
        <color rgb="FF000000"/>
        <rFont val="宋体"/>
        <charset val="134"/>
      </rPr>
      <t>时</t>
    </r>
  </si>
  <si>
    <t>THB 1200</t>
  </si>
  <si>
    <t>和一群白人包车</t>
  </si>
  <si>
    <t>08:00-18:00</t>
  </si>
  <si>
    <t>0112</t>
  </si>
  <si>
    <t>Pak Beng</t>
  </si>
  <si>
    <t>Houay Xai</t>
  </si>
  <si>
    <t>SLOW BOAT</t>
  </si>
  <si>
    <t>Pak Beng Slow Boat Pier-Houayxay Slow Boat Pier</t>
  </si>
  <si>
    <t>TARIF THE TRANS PORTS</t>
  </si>
  <si>
    <t>08:30-18:00</t>
  </si>
  <si>
    <t>Luang PraBang</t>
  </si>
  <si>
    <t>Luang Prabang Slow Boat Terminal-Pak Beng Slow Boat Pier</t>
  </si>
  <si>
    <r>
      <rPr>
        <sz val="11"/>
        <color rgb="FF000000"/>
        <rFont val="宋体"/>
        <charset val="134"/>
      </rPr>
      <t>经停</t>
    </r>
    <r>
      <rPr>
        <sz val="11"/>
        <color rgb="FF000000"/>
        <rFont val="宋体"/>
        <charset val="1"/>
      </rPr>
      <t xml:space="preserve"> </t>
    </r>
    <r>
      <rPr>
        <sz val="11"/>
        <color rgb="FF000000"/>
        <rFont val="Times New Roman"/>
        <charset val="1"/>
      </rPr>
      <t xml:space="preserve">Pak Bang </t>
    </r>
    <r>
      <rPr>
        <sz val="11"/>
        <color rgb="FF000000"/>
        <rFont val="宋体"/>
        <charset val="134"/>
      </rPr>
      <t>过夜</t>
    </r>
  </si>
  <si>
    <t>08:10-13:12</t>
  </si>
  <si>
    <t>D85</t>
  </si>
  <si>
    <t>西双版纳</t>
  </si>
  <si>
    <t>琅勃拉邦</t>
  </si>
  <si>
    <r>
      <rPr>
        <sz val="11"/>
        <color rgb="FF000000"/>
        <rFont val="宋体"/>
        <charset val="134"/>
      </rPr>
      <t>动车组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复兴号</t>
    </r>
  </si>
  <si>
    <r>
      <rPr>
        <sz val="11"/>
        <color rgb="FF000000"/>
        <rFont val="宋体"/>
        <charset val="134"/>
      </rPr>
      <t>西双版纳</t>
    </r>
    <r>
      <rPr>
        <sz val="11"/>
        <color rgb="FF000000"/>
        <rFont val="Times New Roman"/>
        <charset val="1"/>
      </rPr>
      <t>-Luang Prabang</t>
    </r>
  </si>
  <si>
    <t>一层</t>
  </si>
  <si>
    <r>
      <rPr>
        <sz val="10.5"/>
        <color rgb="FF000000"/>
        <rFont val="Times New Roman"/>
        <charset val="1"/>
      </rPr>
      <t>07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07F</t>
    </r>
  </si>
  <si>
    <t>昆明局</t>
  </si>
  <si>
    <t>06:52-11:27</t>
  </si>
  <si>
    <t>GJ8823</t>
  </si>
  <si>
    <t>西双版纳嘎洒</t>
  </si>
  <si>
    <r>
      <rPr>
        <sz val="11"/>
        <color rgb="FF000000"/>
        <rFont val="宋体"/>
        <charset val="134"/>
      </rPr>
      <t>空客</t>
    </r>
    <r>
      <rPr>
        <sz val="11"/>
        <color rgb="FF000000"/>
        <rFont val="Times New Roman"/>
        <charset val="1"/>
      </rPr>
      <t>320-200</t>
    </r>
  </si>
  <si>
    <r>
      <rPr>
        <sz val="11"/>
        <color rgb="FF000000"/>
        <rFont val="宋体"/>
        <charset val="134"/>
      </rPr>
      <t>萧山</t>
    </r>
    <r>
      <rPr>
        <sz val="11"/>
        <color rgb="FF000000"/>
        <rFont val="Times New Roman"/>
        <charset val="1"/>
      </rPr>
      <t>T3-</t>
    </r>
    <r>
      <rPr>
        <sz val="11"/>
        <color rgb="FF000000"/>
        <rFont val="宋体"/>
        <charset val="134"/>
      </rPr>
      <t>嘎洒</t>
    </r>
  </si>
  <si>
    <t>B14</t>
  </si>
  <si>
    <t>8A</t>
  </si>
  <si>
    <t>长龙航空</t>
  </si>
  <si>
    <t>经停毕节飞雄</t>
  </si>
  <si>
    <t>13:38-19:42</t>
  </si>
  <si>
    <t>G187</t>
  </si>
  <si>
    <t>北京南</t>
  </si>
  <si>
    <t>台州西站</t>
  </si>
  <si>
    <t>高速动车</t>
  </si>
  <si>
    <r>
      <rPr>
        <sz val="11"/>
        <color rgb="FF000000"/>
        <rFont val="宋体"/>
        <charset val="134"/>
      </rPr>
      <t>北京南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杭州东</t>
    </r>
  </si>
  <si>
    <r>
      <rPr>
        <sz val="10.5"/>
        <color rgb="FF000000"/>
        <rFont val="Times New Roman"/>
        <charset val="1"/>
      </rPr>
      <t>8A</t>
    </r>
    <r>
      <rPr>
        <sz val="11"/>
        <color rgb="FF000000"/>
        <rFont val="宋体"/>
        <charset val="134"/>
      </rPr>
      <t>、</t>
    </r>
    <r>
      <rPr>
        <sz val="11"/>
        <color rgb="FF000000"/>
        <rFont val="Times New Roman"/>
        <charset val="1"/>
      </rPr>
      <t>8B</t>
    </r>
  </si>
  <si>
    <r>
      <rPr>
        <sz val="10.5"/>
        <color rgb="FF000000"/>
        <rFont val="Times New Roman"/>
        <charset val="1"/>
      </rPr>
      <t>13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04F</t>
    </r>
  </si>
  <si>
    <t>答辩返程</t>
  </si>
  <si>
    <t>10:56-15:44</t>
  </si>
  <si>
    <t>G37</t>
  </si>
  <si>
    <t>千岛湖站</t>
  </si>
  <si>
    <r>
      <rPr>
        <sz val="11"/>
        <color rgb="FF000000"/>
        <rFont val="宋体"/>
        <charset val="134"/>
      </rPr>
      <t>北京南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杭州西</t>
    </r>
  </si>
  <si>
    <r>
      <rPr>
        <sz val="10.5"/>
        <color rgb="FF000000"/>
        <rFont val="Times New Roman"/>
        <charset val="1"/>
      </rPr>
      <t>14A</t>
    </r>
    <r>
      <rPr>
        <sz val="11"/>
        <color rgb="FF000000"/>
        <rFont val="宋体"/>
        <charset val="134"/>
      </rPr>
      <t>、</t>
    </r>
    <r>
      <rPr>
        <sz val="11"/>
        <color rgb="FF000000"/>
        <rFont val="Times New Roman"/>
        <charset val="1"/>
      </rPr>
      <t>14B</t>
    </r>
  </si>
  <si>
    <r>
      <rPr>
        <sz val="10.5"/>
        <color rgb="FF000000"/>
        <rFont val="Times New Roman"/>
        <charset val="1"/>
      </rPr>
      <t>07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10A</t>
    </r>
  </si>
  <si>
    <t>北京局</t>
  </si>
  <si>
    <t>退票费</t>
  </si>
  <si>
    <t>19:36-21:27</t>
  </si>
  <si>
    <t>KN2332</t>
  </si>
  <si>
    <t>北京大兴</t>
  </si>
  <si>
    <r>
      <rPr>
        <sz val="11"/>
        <color rgb="FF000000"/>
        <rFont val="宋体"/>
        <charset val="134"/>
      </rPr>
      <t>波音</t>
    </r>
    <r>
      <rPr>
        <sz val="11"/>
        <color rgb="FF000000"/>
        <rFont val="Times New Roman"/>
        <charset val="1"/>
      </rPr>
      <t>737-800(WL)</t>
    </r>
  </si>
  <si>
    <r>
      <rPr>
        <sz val="11"/>
        <color rgb="FF000000"/>
        <rFont val="宋体"/>
        <charset val="134"/>
      </rPr>
      <t>萧山</t>
    </r>
    <r>
      <rPr>
        <sz val="11"/>
        <color rgb="FF000000"/>
        <rFont val="Times New Roman"/>
        <charset val="1"/>
      </rPr>
      <t>T3-</t>
    </r>
    <r>
      <rPr>
        <sz val="11"/>
        <color rgb="FF000000"/>
        <rFont val="宋体"/>
        <charset val="134"/>
      </rPr>
      <t>大兴</t>
    </r>
  </si>
  <si>
    <t>B09</t>
  </si>
  <si>
    <t>34A</t>
  </si>
  <si>
    <t>中国联合航空</t>
  </si>
  <si>
    <r>
      <rPr>
        <sz val="10.5"/>
        <color rgb="FF000000"/>
        <rFont val="Times New Roman"/>
        <charset val="1"/>
      </rPr>
      <t>24</t>
    </r>
    <r>
      <rPr>
        <sz val="11"/>
        <color rgb="FF000000"/>
        <rFont val="宋体"/>
        <charset val="134"/>
      </rPr>
      <t>春答辩</t>
    </r>
  </si>
  <si>
    <t>19:04-23:22</t>
  </si>
  <si>
    <t>G39</t>
  </si>
  <si>
    <r>
      <rPr>
        <sz val="10.5"/>
        <color rgb="FF000000"/>
        <rFont val="Times New Roman"/>
        <charset val="1"/>
      </rPr>
      <t>9A</t>
    </r>
    <r>
      <rPr>
        <sz val="11"/>
        <color rgb="FF000000"/>
        <rFont val="宋体"/>
        <charset val="134"/>
      </rPr>
      <t>、</t>
    </r>
    <r>
      <rPr>
        <sz val="11"/>
        <color rgb="FF000000"/>
        <rFont val="Times New Roman"/>
        <charset val="1"/>
      </rPr>
      <t>9B</t>
    </r>
  </si>
  <si>
    <r>
      <rPr>
        <sz val="10.5"/>
        <color rgb="FF000000"/>
        <rFont val="Times New Roman"/>
        <charset val="1"/>
      </rPr>
      <t>13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03C</t>
    </r>
  </si>
  <si>
    <r>
      <rPr>
        <sz val="10.5"/>
        <color rgb="FF000000"/>
        <rFont val="Times New Roman"/>
        <charset val="1"/>
      </rPr>
      <t>24</t>
    </r>
    <r>
      <rPr>
        <sz val="11"/>
        <color rgb="FF000000"/>
        <rFont val="宋体"/>
        <charset val="134"/>
      </rPr>
      <t>春实习</t>
    </r>
  </si>
  <si>
    <t>14:41-20:26</t>
  </si>
  <si>
    <t>G192</t>
  </si>
  <si>
    <r>
      <rPr>
        <sz val="11"/>
        <color rgb="FF000000"/>
        <rFont val="宋体"/>
        <charset val="134"/>
      </rPr>
      <t>杭州东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北京南</t>
    </r>
  </si>
  <si>
    <t>5B</t>
  </si>
  <si>
    <r>
      <rPr>
        <sz val="10.5"/>
        <color rgb="FF000000"/>
        <rFont val="Times New Roman"/>
        <charset val="1"/>
      </rPr>
      <t>24</t>
    </r>
    <r>
      <rPr>
        <sz val="11"/>
        <color rgb="FF000000"/>
        <rFont val="宋体"/>
        <charset val="134"/>
      </rPr>
      <t>春注册</t>
    </r>
  </si>
  <si>
    <t>07:46-09:28</t>
  </si>
  <si>
    <t>HU7161</t>
  </si>
  <si>
    <t>广州白云</t>
  </si>
  <si>
    <r>
      <rPr>
        <sz val="11"/>
        <color rgb="FF000000"/>
        <rFont val="宋体"/>
        <charset val="134"/>
      </rPr>
      <t>白云</t>
    </r>
    <r>
      <rPr>
        <sz val="11"/>
        <color rgb="FF000000"/>
        <rFont val="Times New Roman"/>
        <charset val="1"/>
      </rPr>
      <t>T1-</t>
    </r>
    <r>
      <rPr>
        <sz val="11"/>
        <color rgb="FF000000"/>
        <rFont val="宋体"/>
        <charset val="134"/>
      </rPr>
      <t>萧山</t>
    </r>
    <r>
      <rPr>
        <sz val="11"/>
        <color rgb="FF000000"/>
        <rFont val="Times New Roman"/>
        <charset val="1"/>
      </rPr>
      <t>T3</t>
    </r>
  </si>
  <si>
    <t>B216</t>
  </si>
  <si>
    <t>43A</t>
  </si>
  <si>
    <t>海南航空</t>
  </si>
  <si>
    <t>广马返程</t>
  </si>
  <si>
    <t>13:35-04:51</t>
  </si>
  <si>
    <t>T169</t>
  </si>
  <si>
    <t>上海南</t>
  </si>
  <si>
    <t>广州</t>
  </si>
  <si>
    <t>空调特快</t>
  </si>
  <si>
    <r>
      <rPr>
        <sz val="11"/>
        <color rgb="FF000000"/>
        <rFont val="宋体"/>
        <charset val="134"/>
      </rPr>
      <t>杭州南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广州</t>
    </r>
  </si>
  <si>
    <r>
      <rPr>
        <sz val="10.5"/>
        <color rgb="FF000000"/>
        <rFont val="Times New Roman"/>
        <charset val="1"/>
      </rPr>
      <t>-9</t>
    </r>
    <r>
      <rPr>
        <sz val="11"/>
        <color rgb="FF000000"/>
        <rFont val="宋体"/>
        <charset val="134"/>
      </rPr>
      <t>时</t>
    </r>
    <r>
      <rPr>
        <sz val="11"/>
        <color rgb="FF000000"/>
        <rFont val="Times New Roman"/>
        <charset val="1"/>
      </rPr>
      <t>16</t>
    </r>
    <r>
      <rPr>
        <sz val="11"/>
        <color rgb="FF000000"/>
        <rFont val="宋体"/>
        <charset val="134"/>
      </rPr>
      <t>分</t>
    </r>
  </si>
  <si>
    <r>
      <rPr>
        <sz val="10.5"/>
        <color rgb="FF000000"/>
        <rFont val="Times New Roman"/>
        <charset val="1"/>
      </rPr>
      <t>06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005</t>
    </r>
    <r>
      <rPr>
        <sz val="11"/>
        <color rgb="FF000000"/>
        <rFont val="宋体"/>
        <charset val="134"/>
      </rPr>
      <t>号上铺</t>
    </r>
  </si>
  <si>
    <t>广州马拉松</t>
  </si>
  <si>
    <t>13:20-19:16</t>
  </si>
  <si>
    <t>G185</t>
  </si>
  <si>
    <t>宁海</t>
  </si>
  <si>
    <r>
      <rPr>
        <sz val="10.5"/>
        <color rgb="FF000000"/>
        <rFont val="Times New Roman"/>
        <charset val="1"/>
      </rPr>
      <t>11A</t>
    </r>
    <r>
      <rPr>
        <sz val="11"/>
        <color rgb="FF000000"/>
        <rFont val="宋体"/>
        <charset val="134"/>
      </rPr>
      <t>、</t>
    </r>
    <r>
      <rPr>
        <sz val="11"/>
        <color rgb="FF000000"/>
        <rFont val="Times New Roman"/>
        <charset val="1"/>
      </rPr>
      <t>11B</t>
    </r>
  </si>
  <si>
    <r>
      <rPr>
        <sz val="10.5"/>
        <color rgb="FF000000"/>
        <rFont val="Times New Roman"/>
        <charset val="1"/>
      </rPr>
      <t>04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05F</t>
    </r>
  </si>
  <si>
    <r>
      <rPr>
        <sz val="10.5"/>
        <color rgb="FF000000"/>
        <rFont val="Times New Roman"/>
        <charset val="1"/>
      </rPr>
      <t>23</t>
    </r>
    <r>
      <rPr>
        <sz val="11"/>
        <color rgb="FF000000"/>
        <rFont val="宋体"/>
        <charset val="134"/>
      </rPr>
      <t>秋实习</t>
    </r>
  </si>
  <si>
    <t>10:31-13:32</t>
  </si>
  <si>
    <t>G110</t>
  </si>
  <si>
    <r>
      <rPr>
        <sz val="11"/>
        <color rgb="FF000000"/>
        <rFont val="宋体"/>
        <charset val="134"/>
      </rPr>
      <t>徐州东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北京南</t>
    </r>
  </si>
  <si>
    <r>
      <rPr>
        <sz val="10.5"/>
        <color rgb="FF000000"/>
        <rFont val="Times New Roman"/>
        <charset val="1"/>
      </rPr>
      <t>7A</t>
    </r>
    <r>
      <rPr>
        <sz val="11"/>
        <color rgb="FF000000"/>
        <rFont val="宋体"/>
        <charset val="134"/>
      </rPr>
      <t>、</t>
    </r>
    <r>
      <rPr>
        <sz val="11"/>
        <color rgb="FF000000"/>
        <rFont val="Times New Roman"/>
        <charset val="1"/>
      </rPr>
      <t>7B</t>
    </r>
  </si>
  <si>
    <r>
      <rPr>
        <sz val="10.5"/>
        <color rgb="FF000000"/>
        <rFont val="Times New Roman"/>
        <charset val="1"/>
      </rPr>
      <t>11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14D</t>
    </r>
  </si>
  <si>
    <r>
      <rPr>
        <sz val="11"/>
        <color rgb="FF000000"/>
        <rFont val="宋体"/>
        <charset val="134"/>
      </rPr>
      <t>徐马返程，</t>
    </r>
    <r>
      <rPr>
        <sz val="11"/>
        <color rgb="FF000000"/>
        <rFont val="Times New Roman"/>
        <charset val="1"/>
      </rPr>
      <t>G14</t>
    </r>
    <r>
      <rPr>
        <sz val="11"/>
        <color rgb="FF000000"/>
        <rFont val="宋体"/>
        <charset val="134"/>
      </rPr>
      <t>改签</t>
    </r>
  </si>
  <si>
    <t>10:56-13:17</t>
  </si>
  <si>
    <t>千岛湖</t>
  </si>
  <si>
    <r>
      <rPr>
        <sz val="11"/>
        <color rgb="FF000000"/>
        <rFont val="宋体"/>
        <charset val="134"/>
      </rPr>
      <t>北京南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徐州东</t>
    </r>
  </si>
  <si>
    <r>
      <rPr>
        <sz val="10.5"/>
        <color rgb="FF000000"/>
        <rFont val="Times New Roman"/>
        <charset val="1"/>
      </rPr>
      <t>04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15A</t>
    </r>
  </si>
  <si>
    <t>徐州马拉松</t>
  </si>
  <si>
    <t>10:20-16:58</t>
  </si>
  <si>
    <t>G182</t>
  </si>
  <si>
    <r>
      <rPr>
        <sz val="11"/>
        <color rgb="FF000000"/>
        <rFont val="宋体"/>
        <charset val="134"/>
      </rPr>
      <t>高速铁路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复兴号</t>
    </r>
  </si>
  <si>
    <r>
      <rPr>
        <sz val="11"/>
        <color rgb="FF000000"/>
        <rFont val="宋体"/>
        <charset val="134"/>
      </rPr>
      <t>宁波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北京南</t>
    </r>
  </si>
  <si>
    <t>5A</t>
  </si>
  <si>
    <r>
      <rPr>
        <sz val="10.5"/>
        <color rgb="FF000000"/>
        <rFont val="Times New Roman"/>
        <charset val="1"/>
      </rPr>
      <t>14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18A</t>
    </r>
  </si>
  <si>
    <r>
      <rPr>
        <sz val="10.5"/>
        <color rgb="FF000000"/>
        <rFont val="Times New Roman"/>
        <charset val="1"/>
      </rPr>
      <t>23</t>
    </r>
    <r>
      <rPr>
        <sz val="11"/>
        <color rgb="FF000000"/>
        <rFont val="宋体"/>
        <charset val="134"/>
      </rPr>
      <t>国庆返校</t>
    </r>
  </si>
  <si>
    <t>14:30-18:50</t>
  </si>
  <si>
    <t>上海</t>
  </si>
  <si>
    <t>舟山</t>
  </si>
  <si>
    <r>
      <rPr>
        <sz val="11"/>
        <color rgb="FF000000"/>
        <rFont val="宋体"/>
        <charset val="134"/>
      </rPr>
      <t>南浦大桥长途旅游客运站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定海汽车客运中心</t>
    </r>
  </si>
  <si>
    <r>
      <rPr>
        <sz val="10.5"/>
        <color rgb="FF000000"/>
        <rFont val="Times New Roman"/>
        <charset val="1"/>
      </rPr>
      <t>23</t>
    </r>
    <r>
      <rPr>
        <sz val="11"/>
        <color rgb="FF000000"/>
        <rFont val="宋体"/>
        <charset val="134"/>
      </rPr>
      <t>国庆返乡</t>
    </r>
  </si>
  <si>
    <t>11:56-06:45(+1)</t>
  </si>
  <si>
    <t>1461</t>
  </si>
  <si>
    <t>北京</t>
  </si>
  <si>
    <t>普快</t>
  </si>
  <si>
    <r>
      <rPr>
        <sz val="11"/>
        <color rgb="FF000000"/>
        <rFont val="宋体"/>
        <charset val="134"/>
      </rPr>
      <t>北京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上海</t>
    </r>
  </si>
  <si>
    <r>
      <rPr>
        <sz val="10.5"/>
        <color rgb="FF000000"/>
        <rFont val="Times New Roman"/>
        <charset val="1"/>
      </rPr>
      <t>4</t>
    </r>
    <r>
      <rPr>
        <sz val="11"/>
        <color rgb="FF000000"/>
        <rFont val="宋体"/>
        <charset val="134"/>
      </rPr>
      <t>号</t>
    </r>
  </si>
  <si>
    <r>
      <rPr>
        <sz val="10.5"/>
        <color rgb="FF000000"/>
        <rFont val="Times New Roman"/>
        <charset val="1"/>
      </rPr>
      <t>07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08</t>
    </r>
    <r>
      <rPr>
        <sz val="11"/>
        <color rgb="FF000000"/>
        <rFont val="宋体"/>
        <charset val="134"/>
      </rPr>
      <t>下</t>
    </r>
  </si>
  <si>
    <t>16:30-08:32(+1)</t>
  </si>
  <si>
    <t>T110</t>
  </si>
  <si>
    <t>特快</t>
  </si>
  <si>
    <r>
      <rPr>
        <sz val="11"/>
        <color rgb="FF000000"/>
        <rFont val="宋体"/>
        <charset val="134"/>
      </rPr>
      <t>上海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北京</t>
    </r>
  </si>
  <si>
    <r>
      <rPr>
        <sz val="10.5"/>
        <color rgb="FF000000"/>
        <rFont val="Times New Roman"/>
        <charset val="1"/>
      </rPr>
      <t>6</t>
    </r>
    <r>
      <rPr>
        <sz val="11"/>
        <color rgb="FF000000"/>
        <rFont val="宋体"/>
        <charset val="134"/>
      </rPr>
      <t>号</t>
    </r>
  </si>
  <si>
    <r>
      <rPr>
        <sz val="10.5"/>
        <color rgb="FF000000"/>
        <rFont val="Times New Roman"/>
        <charset val="1"/>
      </rPr>
      <t>05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14</t>
    </r>
    <r>
      <rPr>
        <sz val="11"/>
        <color rgb="FF000000"/>
        <rFont val="宋体"/>
        <charset val="134"/>
      </rPr>
      <t>上</t>
    </r>
  </si>
  <si>
    <r>
      <rPr>
        <sz val="10.5"/>
        <color rgb="FF000000"/>
        <rFont val="Times New Roman"/>
        <charset val="1"/>
      </rPr>
      <t>23</t>
    </r>
    <r>
      <rPr>
        <sz val="11"/>
        <color rgb="FF000000"/>
        <rFont val="宋体"/>
        <charset val="134"/>
      </rPr>
      <t>秋返校，改签</t>
    </r>
    <r>
      <rPr>
        <sz val="11"/>
        <color rgb="FF000000"/>
        <rFont val="Times New Roman"/>
        <charset val="1"/>
      </rPr>
      <t>10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12</t>
    </r>
    <r>
      <rPr>
        <sz val="11"/>
        <color rgb="FF000000"/>
        <rFont val="宋体"/>
        <charset val="134"/>
      </rPr>
      <t>上，换</t>
    </r>
  </si>
  <si>
    <t>13:46-14:55</t>
  </si>
  <si>
    <t>G117</t>
  </si>
  <si>
    <r>
      <rPr>
        <sz val="11"/>
        <color rgb="FF000000"/>
        <rFont val="宋体"/>
        <charset val="134"/>
      </rPr>
      <t>南京南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上海虹桥</t>
    </r>
  </si>
  <si>
    <t>B3</t>
  </si>
  <si>
    <r>
      <rPr>
        <sz val="10.5"/>
        <color rgb="FF000000"/>
        <rFont val="Times New Roman"/>
        <charset val="1"/>
      </rPr>
      <t>11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13D</t>
    </r>
  </si>
  <si>
    <r>
      <rPr>
        <sz val="10.5"/>
        <color rgb="FF000000"/>
        <rFont val="Times New Roman"/>
        <charset val="1"/>
      </rPr>
      <t>23</t>
    </r>
    <r>
      <rPr>
        <sz val="11"/>
        <color rgb="FF000000"/>
        <rFont val="宋体"/>
        <charset val="134"/>
      </rPr>
      <t>夏实习，积分兑换</t>
    </r>
  </si>
  <si>
    <t>09:20-13:44</t>
  </si>
  <si>
    <r>
      <rPr>
        <sz val="11"/>
        <color rgb="FF000000"/>
        <rFont val="宋体"/>
        <charset val="134"/>
      </rPr>
      <t>北京南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南京南</t>
    </r>
  </si>
  <si>
    <r>
      <rPr>
        <sz val="10.5"/>
        <color rgb="FF000000"/>
        <rFont val="Times New Roman"/>
        <charset val="1"/>
      </rPr>
      <t>12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07A</t>
    </r>
  </si>
  <si>
    <r>
      <rPr>
        <sz val="10.5"/>
        <color rgb="FF000000"/>
        <rFont val="Times New Roman"/>
        <charset val="1"/>
      </rPr>
      <t>23</t>
    </r>
    <r>
      <rPr>
        <sz val="11"/>
        <color rgb="FF000000"/>
        <rFont val="宋体"/>
        <charset val="134"/>
      </rPr>
      <t>夏实习</t>
    </r>
  </si>
  <si>
    <t>16:05-21:28</t>
  </si>
  <si>
    <t>G36</t>
  </si>
  <si>
    <t>11B</t>
  </si>
  <si>
    <r>
      <rPr>
        <sz val="10.5"/>
        <color rgb="FF000000"/>
        <rFont val="Times New Roman"/>
        <charset val="1"/>
      </rPr>
      <t>06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07A</t>
    </r>
  </si>
  <si>
    <t>13:18-15:25</t>
  </si>
  <si>
    <t>D3141</t>
  </si>
  <si>
    <t>南京</t>
  </si>
  <si>
    <t>龙岩</t>
  </si>
  <si>
    <r>
      <rPr>
        <sz val="11"/>
        <color rgb="FF000000"/>
        <rFont val="宋体"/>
        <charset val="134"/>
      </rPr>
      <t>上海虹桥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宁波</t>
    </r>
  </si>
  <si>
    <t>20AB</t>
  </si>
  <si>
    <r>
      <rPr>
        <sz val="10.5"/>
        <color rgb="FF000000"/>
        <rFont val="Times New Roman"/>
        <charset val="1"/>
      </rPr>
      <t>07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16C</t>
    </r>
  </si>
  <si>
    <r>
      <rPr>
        <sz val="10.5"/>
        <color rgb="FF000000"/>
        <rFont val="Times New Roman"/>
        <charset val="1"/>
      </rPr>
      <t>23</t>
    </r>
    <r>
      <rPr>
        <sz val="11"/>
        <color rgb="FF000000"/>
        <rFont val="宋体"/>
        <charset val="134"/>
      </rPr>
      <t>夏返乡</t>
    </r>
  </si>
  <si>
    <t>12:00-16:38</t>
  </si>
  <si>
    <t>G11</t>
  </si>
  <si>
    <r>
      <rPr>
        <sz val="11"/>
        <color rgb="FF000000"/>
        <rFont val="宋体"/>
        <charset val="134"/>
      </rPr>
      <t>北京南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上海虹桥</t>
    </r>
  </si>
  <si>
    <r>
      <rPr>
        <sz val="10.5"/>
        <color rgb="FF000000"/>
        <rFont val="Times New Roman"/>
        <charset val="1"/>
      </rPr>
      <t>10A</t>
    </r>
    <r>
      <rPr>
        <sz val="11"/>
        <color rgb="FF000000"/>
        <rFont val="宋体"/>
        <charset val="134"/>
      </rPr>
      <t>、</t>
    </r>
    <r>
      <rPr>
        <sz val="11"/>
        <color rgb="FF000000"/>
        <rFont val="Times New Roman"/>
        <charset val="1"/>
      </rPr>
      <t>10B</t>
    </r>
  </si>
  <si>
    <r>
      <rPr>
        <sz val="10.5"/>
        <color rgb="FF000000"/>
        <rFont val="Times New Roman"/>
        <charset val="1"/>
      </rPr>
      <t>10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06F</t>
    </r>
  </si>
  <si>
    <t>19:08-20:53</t>
  </si>
  <si>
    <t>G2540</t>
  </si>
  <si>
    <t>大同南</t>
  </si>
  <si>
    <t>北京北</t>
  </si>
  <si>
    <t>高速</t>
  </si>
  <si>
    <r>
      <rPr>
        <sz val="11"/>
        <color rgb="FF000000"/>
        <rFont val="宋体"/>
        <charset val="134"/>
      </rPr>
      <t>大同南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北京北</t>
    </r>
  </si>
  <si>
    <t>1A</t>
  </si>
  <si>
    <r>
      <rPr>
        <sz val="10.5"/>
        <color rgb="FF000000"/>
        <rFont val="Times New Roman"/>
        <charset val="1"/>
      </rPr>
      <t>11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05F</t>
    </r>
  </si>
  <si>
    <t>大同行返程</t>
  </si>
  <si>
    <t>10:32-12:45</t>
  </si>
  <si>
    <t>G2533</t>
  </si>
  <si>
    <r>
      <rPr>
        <sz val="11"/>
        <color rgb="FF000000"/>
        <rFont val="宋体"/>
        <charset val="134"/>
      </rPr>
      <t>北京北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大同南</t>
    </r>
  </si>
  <si>
    <r>
      <rPr>
        <sz val="11"/>
        <color rgb="FF000000"/>
        <rFont val="宋体"/>
        <charset val="134"/>
      </rPr>
      <t>负一层第</t>
    </r>
    <r>
      <rPr>
        <sz val="11"/>
        <color rgb="FF000000"/>
        <rFont val="Times New Roman"/>
        <charset val="1"/>
      </rPr>
      <t>5</t>
    </r>
    <r>
      <rPr>
        <sz val="11"/>
        <color rgb="FF000000"/>
        <rFont val="宋体"/>
        <charset val="134"/>
      </rPr>
      <t>检票口</t>
    </r>
  </si>
  <si>
    <r>
      <rPr>
        <sz val="10.5"/>
        <color rgb="FF000000"/>
        <rFont val="Times New Roman"/>
        <charset val="1"/>
      </rPr>
      <t>04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02D</t>
    </r>
  </si>
  <si>
    <t>大同行</t>
  </si>
  <si>
    <t>18:52-22:15</t>
  </si>
  <si>
    <t>G212</t>
  </si>
  <si>
    <r>
      <rPr>
        <sz val="11"/>
        <color rgb="FF000000"/>
        <rFont val="宋体"/>
        <charset val="134"/>
      </rPr>
      <t>青岛北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北京南</t>
    </r>
  </si>
  <si>
    <r>
      <rPr>
        <sz val="10.5"/>
        <color rgb="FF000000"/>
        <rFont val="Times New Roman"/>
        <charset val="1"/>
      </rPr>
      <t>2A</t>
    </r>
    <r>
      <rPr>
        <sz val="11"/>
        <color rgb="FF000000"/>
        <rFont val="宋体"/>
        <charset val="134"/>
      </rPr>
      <t>、</t>
    </r>
    <r>
      <rPr>
        <sz val="11"/>
        <color rgb="FF000000"/>
        <rFont val="Times New Roman"/>
        <charset val="1"/>
      </rPr>
      <t>2B</t>
    </r>
  </si>
  <si>
    <r>
      <rPr>
        <sz val="10.5"/>
        <color rgb="FF000000"/>
        <rFont val="Times New Roman"/>
        <charset val="1"/>
      </rPr>
      <t>14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04F</t>
    </r>
  </si>
  <si>
    <t>青岛半马返程</t>
  </si>
  <si>
    <t>10:37-14:26</t>
  </si>
  <si>
    <t>G205</t>
  </si>
  <si>
    <t>青岛</t>
  </si>
  <si>
    <t>高速铁路</t>
  </si>
  <si>
    <r>
      <rPr>
        <sz val="11"/>
        <color rgb="FF000000"/>
        <rFont val="宋体"/>
        <charset val="134"/>
      </rPr>
      <t>北京南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青岛</t>
    </r>
  </si>
  <si>
    <r>
      <rPr>
        <sz val="10.5"/>
        <color rgb="FF000000"/>
        <rFont val="Times New Roman"/>
        <charset val="1"/>
      </rPr>
      <t>03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07F</t>
    </r>
  </si>
  <si>
    <t>青岛半马</t>
  </si>
  <si>
    <r>
      <rPr>
        <sz val="10.5"/>
        <color rgb="FF000000"/>
        <rFont val="Times New Roman"/>
        <charset val="1"/>
      </rPr>
      <t>07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16A</t>
    </r>
  </si>
  <si>
    <r>
      <rPr>
        <sz val="10.5"/>
        <color rgb="FF000000"/>
        <rFont val="Times New Roman"/>
        <charset val="1"/>
      </rPr>
      <t>23</t>
    </r>
    <r>
      <rPr>
        <sz val="11"/>
        <color rgb="FF000000"/>
        <rFont val="宋体"/>
        <charset val="134"/>
      </rPr>
      <t>春返校</t>
    </r>
  </si>
  <si>
    <t>08:30-10:39</t>
  </si>
  <si>
    <t>MU6488</t>
  </si>
  <si>
    <r>
      <rPr>
        <sz val="11"/>
        <color rgb="FF000000"/>
        <rFont val="宋体"/>
        <charset val="134"/>
      </rPr>
      <t>大兴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栎社</t>
    </r>
  </si>
  <si>
    <t>D64</t>
  </si>
  <si>
    <t>47A</t>
  </si>
  <si>
    <t>东方航空</t>
  </si>
  <si>
    <r>
      <rPr>
        <sz val="10.5"/>
        <color rgb="FF000000"/>
        <rFont val="Times New Roman"/>
        <charset val="1"/>
      </rPr>
      <t>22</t>
    </r>
    <r>
      <rPr>
        <sz val="11"/>
        <color rgb="FF000000"/>
        <rFont val="宋体"/>
        <charset val="134"/>
      </rPr>
      <t>冬返乡</t>
    </r>
  </si>
  <si>
    <r>
      <rPr>
        <sz val="10.5"/>
        <color rgb="FF000000"/>
        <rFont val="Times New Roman"/>
        <charset val="1"/>
      </rPr>
      <t>06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12A</t>
    </r>
  </si>
  <si>
    <r>
      <rPr>
        <sz val="10.5"/>
        <color rgb="FF000000"/>
        <rFont val="Times New Roman"/>
        <charset val="1"/>
      </rPr>
      <t>22</t>
    </r>
    <r>
      <rPr>
        <sz val="11"/>
        <color rgb="FF000000"/>
        <rFont val="宋体"/>
        <charset val="134"/>
      </rPr>
      <t>秋入学</t>
    </r>
  </si>
  <si>
    <t>16:44-19:09</t>
  </si>
  <si>
    <t>G2334</t>
  </si>
  <si>
    <t>贵阳北</t>
  </si>
  <si>
    <r>
      <rPr>
        <sz val="11"/>
        <color rgb="FF000000"/>
        <rFont val="宋体"/>
        <charset val="134"/>
      </rPr>
      <t>金华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宁波</t>
    </r>
  </si>
  <si>
    <t>9</t>
  </si>
  <si>
    <r>
      <rPr>
        <sz val="10.5"/>
        <color rgb="FF000000"/>
        <rFont val="Times New Roman"/>
        <charset val="1"/>
      </rPr>
      <t>02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01C</t>
    </r>
  </si>
  <si>
    <t>宁波暂驻</t>
  </si>
  <si>
    <t>09:29-12:54</t>
  </si>
  <si>
    <t>G1350</t>
  </si>
  <si>
    <t>长沙南</t>
  </si>
  <si>
    <r>
      <rPr>
        <sz val="11"/>
        <color rgb="FF000000"/>
        <rFont val="宋体"/>
        <charset val="134"/>
      </rPr>
      <t>长沙南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金华</t>
    </r>
  </si>
  <si>
    <t>B17</t>
  </si>
  <si>
    <r>
      <rPr>
        <sz val="10.5"/>
        <color rgb="FF000000"/>
        <rFont val="Times New Roman"/>
        <charset val="1"/>
      </rPr>
      <t>07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09A</t>
    </r>
  </si>
  <si>
    <t>金华聚会</t>
  </si>
  <si>
    <t>11:02-17:17</t>
  </si>
  <si>
    <t>G1696</t>
  </si>
  <si>
    <t>昆明南</t>
  </si>
  <si>
    <r>
      <rPr>
        <sz val="11"/>
        <color rgb="FF000000"/>
        <rFont val="宋体"/>
        <charset val="134"/>
      </rPr>
      <t>昆明南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长沙南</t>
    </r>
  </si>
  <si>
    <r>
      <rPr>
        <sz val="11"/>
        <color rgb="FF000000"/>
        <rFont val="宋体"/>
        <charset val="134"/>
      </rPr>
      <t>呈贡昆明南站</t>
    </r>
    <r>
      <rPr>
        <sz val="11"/>
        <color rgb="FF000000"/>
        <rFont val="Times New Roman"/>
        <charset val="1"/>
      </rPr>
      <t>7A</t>
    </r>
  </si>
  <si>
    <r>
      <rPr>
        <sz val="10.5"/>
        <color rgb="FF000000"/>
        <rFont val="Times New Roman"/>
        <charset val="1"/>
      </rPr>
      <t>10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12A</t>
    </r>
  </si>
  <si>
    <t>长沙行</t>
  </si>
  <si>
    <t>11:36-13:40</t>
  </si>
  <si>
    <t>G2803</t>
  </si>
  <si>
    <t>成都东</t>
  </si>
  <si>
    <r>
      <rPr>
        <sz val="11"/>
        <color rgb="FF000000"/>
        <rFont val="宋体"/>
        <charset val="134"/>
      </rPr>
      <t>贵阳北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昆明南</t>
    </r>
  </si>
  <si>
    <t>27B</t>
  </si>
  <si>
    <r>
      <rPr>
        <sz val="10.5"/>
        <color rgb="FF000000"/>
        <rFont val="Times New Roman"/>
        <charset val="1"/>
      </rPr>
      <t>04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13F</t>
    </r>
  </si>
  <si>
    <t>昆明行</t>
  </si>
  <si>
    <t>16:14-18:27</t>
  </si>
  <si>
    <t>C6033</t>
  </si>
  <si>
    <t>重庆西</t>
  </si>
  <si>
    <t>六盘水</t>
  </si>
  <si>
    <t>城际</t>
  </si>
  <si>
    <r>
      <rPr>
        <sz val="11"/>
        <color rgb="FF000000"/>
        <rFont val="宋体"/>
        <charset val="134"/>
      </rPr>
      <t>重庆西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贵阳北</t>
    </r>
  </si>
  <si>
    <r>
      <rPr>
        <sz val="10.5"/>
        <color rgb="FF000000"/>
        <rFont val="Times New Roman"/>
        <charset val="1"/>
      </rPr>
      <t>10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02F</t>
    </r>
  </si>
  <si>
    <t>贵阳行</t>
  </si>
  <si>
    <t>12:00-13:18</t>
  </si>
  <si>
    <t>G8615</t>
  </si>
  <si>
    <t>沙坪坝</t>
  </si>
  <si>
    <r>
      <rPr>
        <sz val="11"/>
        <color rgb="FF000000"/>
        <rFont val="宋体"/>
        <charset val="134"/>
      </rPr>
      <t>成都东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沙坪坝</t>
    </r>
  </si>
  <si>
    <t>A11</t>
  </si>
  <si>
    <r>
      <rPr>
        <sz val="10.5"/>
        <color rgb="FF000000"/>
        <rFont val="Times New Roman"/>
        <charset val="1"/>
      </rPr>
      <t>06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02A</t>
    </r>
  </si>
  <si>
    <t>重庆行</t>
  </si>
  <si>
    <t>包车</t>
  </si>
  <si>
    <t>稻城</t>
  </si>
  <si>
    <t>成都</t>
  </si>
  <si>
    <r>
      <rPr>
        <sz val="11"/>
        <color rgb="FF000000"/>
        <rFont val="宋体"/>
        <charset val="134"/>
      </rPr>
      <t>新都桥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成都</t>
    </r>
  </si>
  <si>
    <t>经墨石公园</t>
  </si>
  <si>
    <r>
      <rPr>
        <sz val="11"/>
        <color rgb="FF000000"/>
        <rFont val="宋体"/>
        <charset val="134"/>
      </rPr>
      <t>香格里拉镇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新都桥</t>
    </r>
  </si>
  <si>
    <t>经理塘</t>
  </si>
  <si>
    <r>
      <rPr>
        <sz val="11"/>
        <color rgb="FF000000"/>
        <rFont val="宋体"/>
        <charset val="134"/>
      </rPr>
      <t>甘孜稻城亚丁景区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香格里拉镇</t>
    </r>
  </si>
  <si>
    <t>徒步返回</t>
  </si>
  <si>
    <r>
      <rPr>
        <sz val="11"/>
        <color rgb="FF000000"/>
        <rFont val="宋体"/>
        <charset val="134"/>
      </rPr>
      <t>香格里拉镇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甘孜稻城亚丁景区</t>
    </r>
  </si>
  <si>
    <t>徒步前往</t>
  </si>
  <si>
    <r>
      <rPr>
        <sz val="11"/>
        <color rgb="FF000000"/>
        <rFont val="宋体"/>
        <charset val="134"/>
      </rPr>
      <t>新都桥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香格里拉镇</t>
    </r>
  </si>
  <si>
    <t>经卡子拉山、白塔</t>
  </si>
  <si>
    <r>
      <rPr>
        <sz val="11"/>
        <color rgb="FF000000"/>
        <rFont val="宋体"/>
        <charset val="134"/>
      </rPr>
      <t>成都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新都桥</t>
    </r>
  </si>
  <si>
    <t>经折多山</t>
  </si>
  <si>
    <t>九寨沟</t>
  </si>
  <si>
    <r>
      <rPr>
        <sz val="11"/>
        <color rgb="FF000000"/>
        <rFont val="宋体"/>
        <charset val="134"/>
      </rPr>
      <t>九寨沟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成都</t>
    </r>
  </si>
  <si>
    <t>经黄龙</t>
  </si>
  <si>
    <r>
      <rPr>
        <sz val="11"/>
        <color rgb="FF000000"/>
        <rFont val="宋体"/>
        <charset val="134"/>
      </rPr>
      <t>成都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九寨沟</t>
    </r>
  </si>
  <si>
    <t>经都江堰</t>
  </si>
  <si>
    <t>21:46-00:12(+1)</t>
  </si>
  <si>
    <t>3U8938</t>
  </si>
  <si>
    <t>成都双流</t>
  </si>
  <si>
    <r>
      <rPr>
        <sz val="11"/>
        <color rgb="FF000000"/>
        <rFont val="宋体"/>
        <charset val="134"/>
      </rPr>
      <t>空客</t>
    </r>
    <r>
      <rPr>
        <sz val="11"/>
        <color rgb="FF000000"/>
        <rFont val="Times New Roman"/>
        <charset val="1"/>
      </rPr>
      <t>321-200(N)</t>
    </r>
  </si>
  <si>
    <r>
      <rPr>
        <sz val="11"/>
        <color rgb="FF000000"/>
        <rFont val="宋体"/>
        <charset val="134"/>
      </rPr>
      <t>栎社</t>
    </r>
    <r>
      <rPr>
        <sz val="11"/>
        <color rgb="FF000000"/>
        <rFont val="Times New Roman"/>
        <charset val="1"/>
      </rPr>
      <t>T2-</t>
    </r>
    <r>
      <rPr>
        <sz val="11"/>
        <color rgb="FF000000"/>
        <rFont val="宋体"/>
        <charset val="134"/>
      </rPr>
      <t>双流</t>
    </r>
    <r>
      <rPr>
        <sz val="11"/>
        <color rgb="FF000000"/>
        <rFont val="Times New Roman"/>
        <charset val="1"/>
      </rPr>
      <t>T1</t>
    </r>
  </si>
  <si>
    <t>215</t>
  </si>
  <si>
    <t>41A</t>
  </si>
  <si>
    <t>四川航空</t>
  </si>
  <si>
    <t>川西行</t>
  </si>
  <si>
    <t>09:56-15:14</t>
  </si>
  <si>
    <t>G35</t>
  </si>
  <si>
    <r>
      <rPr>
        <sz val="11"/>
        <color rgb="FF000000"/>
        <rFont val="宋体"/>
        <charset val="134"/>
      </rPr>
      <t>北京南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宁波</t>
    </r>
  </si>
  <si>
    <t>14</t>
  </si>
  <si>
    <r>
      <rPr>
        <sz val="10.5"/>
        <color rgb="FF000000"/>
        <rFont val="Times New Roman"/>
        <charset val="1"/>
      </rPr>
      <t>12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01F</t>
    </r>
  </si>
  <si>
    <r>
      <rPr>
        <sz val="10.5"/>
        <color rgb="FF000000"/>
        <rFont val="Times New Roman"/>
        <charset val="1"/>
      </rPr>
      <t>22</t>
    </r>
    <r>
      <rPr>
        <sz val="11"/>
        <color rgb="FF000000"/>
        <rFont val="宋体"/>
        <charset val="134"/>
      </rPr>
      <t>夏返乡</t>
    </r>
  </si>
  <si>
    <t>11:42-13:33</t>
  </si>
  <si>
    <t>CZ8882</t>
  </si>
  <si>
    <t>上海浦东</t>
  </si>
  <si>
    <r>
      <rPr>
        <sz val="11"/>
        <color rgb="FF000000"/>
        <rFont val="宋体"/>
        <charset val="134"/>
      </rPr>
      <t>浦东</t>
    </r>
    <r>
      <rPr>
        <sz val="11"/>
        <color rgb="FF000000"/>
        <rFont val="Times New Roman"/>
        <charset val="1"/>
      </rPr>
      <t>T2-</t>
    </r>
    <r>
      <rPr>
        <sz val="11"/>
        <color rgb="FF000000"/>
        <rFont val="宋体"/>
        <charset val="134"/>
      </rPr>
      <t>大兴</t>
    </r>
  </si>
  <si>
    <t>H184</t>
  </si>
  <si>
    <t>50A</t>
  </si>
  <si>
    <r>
      <rPr>
        <sz val="10.5"/>
        <color rgb="FF000000"/>
        <rFont val="Times New Roman"/>
        <charset val="1"/>
      </rPr>
      <t>22</t>
    </r>
    <r>
      <rPr>
        <sz val="11"/>
        <color rgb="FF000000"/>
        <rFont val="宋体"/>
        <charset val="134"/>
      </rPr>
      <t>春返校</t>
    </r>
  </si>
  <si>
    <t>07:52-09:50</t>
  </si>
  <si>
    <t>CA1839</t>
  </si>
  <si>
    <t>北京首都</t>
  </si>
  <si>
    <r>
      <rPr>
        <sz val="11"/>
        <color rgb="FF000000"/>
        <rFont val="宋体"/>
        <charset val="134"/>
      </rPr>
      <t>首都</t>
    </r>
    <r>
      <rPr>
        <sz val="11"/>
        <color rgb="FF000000"/>
        <rFont val="Times New Roman"/>
        <charset val="1"/>
      </rPr>
      <t>T3-</t>
    </r>
    <r>
      <rPr>
        <sz val="11"/>
        <color rgb="FF000000"/>
        <rFont val="宋体"/>
        <charset val="134"/>
      </rPr>
      <t>栎社</t>
    </r>
    <r>
      <rPr>
        <sz val="11"/>
        <color rgb="FF000000"/>
        <rFont val="Times New Roman"/>
        <charset val="1"/>
      </rPr>
      <t>T2</t>
    </r>
  </si>
  <si>
    <t>C17</t>
  </si>
  <si>
    <t>16L</t>
  </si>
  <si>
    <t>19:47-23:01</t>
  </si>
  <si>
    <t>HU7146</t>
  </si>
  <si>
    <t>乌鲁木齐地窝堡</t>
  </si>
  <si>
    <r>
      <rPr>
        <sz val="11"/>
        <color rgb="FF000000"/>
        <rFont val="宋体"/>
        <charset val="134"/>
      </rPr>
      <t>空客</t>
    </r>
    <r>
      <rPr>
        <sz val="11"/>
        <color rgb="FF000000"/>
        <rFont val="Times New Roman"/>
        <charset val="1"/>
      </rPr>
      <t>330-300(X)</t>
    </r>
  </si>
  <si>
    <r>
      <rPr>
        <sz val="11"/>
        <color rgb="FF000000"/>
        <rFont val="宋体"/>
        <charset val="134"/>
      </rPr>
      <t>地窝堡</t>
    </r>
    <r>
      <rPr>
        <sz val="11"/>
        <color rgb="FF000000"/>
        <rFont val="Times New Roman"/>
        <charset val="1"/>
      </rPr>
      <t>T2-</t>
    </r>
    <r>
      <rPr>
        <sz val="11"/>
        <color rgb="FF000000"/>
        <rFont val="宋体"/>
        <charset val="134"/>
      </rPr>
      <t>首都</t>
    </r>
    <r>
      <rPr>
        <sz val="11"/>
        <color rgb="FF000000"/>
        <rFont val="Times New Roman"/>
        <charset val="1"/>
      </rPr>
      <t>T2</t>
    </r>
  </si>
  <si>
    <t>13</t>
  </si>
  <si>
    <t>57A</t>
  </si>
  <si>
    <t>喀什行，返程</t>
  </si>
  <si>
    <t>16:34-18:21</t>
  </si>
  <si>
    <t>CA1478</t>
  </si>
  <si>
    <t>喀什徕宁</t>
  </si>
  <si>
    <r>
      <rPr>
        <sz val="11"/>
        <color rgb="FF000000"/>
        <rFont val="宋体"/>
        <charset val="134"/>
      </rPr>
      <t>喀什徕宁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地窝堡</t>
    </r>
    <r>
      <rPr>
        <sz val="11"/>
        <color rgb="FF000000"/>
        <rFont val="Times New Roman"/>
        <charset val="1"/>
      </rPr>
      <t>T2</t>
    </r>
  </si>
  <si>
    <t>乌鲁木齐暂驻</t>
  </si>
  <si>
    <t>塔什库尔干</t>
  </si>
  <si>
    <t>喀什</t>
  </si>
  <si>
    <r>
      <rPr>
        <sz val="11"/>
        <color rgb="FF000000"/>
        <rFont val="宋体"/>
        <charset val="134"/>
      </rPr>
      <t>塔什库尔干塔吉克自治县</t>
    </r>
    <r>
      <rPr>
        <sz val="11"/>
        <color rgb="FF000000"/>
        <rFont val="宋体"/>
        <charset val="1"/>
      </rPr>
      <t xml:space="preserve"> 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喀什</t>
    </r>
  </si>
  <si>
    <r>
      <rPr>
        <sz val="11"/>
        <color rgb="FF000000"/>
        <rFont val="宋体"/>
        <charset val="134"/>
      </rPr>
      <t>喀什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塔什库尔干塔吉克自治县</t>
    </r>
    <r>
      <rPr>
        <sz val="11"/>
        <color rgb="FF000000"/>
        <rFont val="宋体"/>
        <charset val="1"/>
      </rPr>
      <t xml:space="preserve"> </t>
    </r>
  </si>
  <si>
    <t>08:27-15:16</t>
  </si>
  <si>
    <t>CA1477</t>
  </si>
  <si>
    <r>
      <rPr>
        <sz val="11"/>
        <color rgb="FF000000"/>
        <rFont val="宋体"/>
        <charset val="134"/>
      </rPr>
      <t>首都</t>
    </r>
    <r>
      <rPr>
        <sz val="11"/>
        <color rgb="FF000000"/>
        <rFont val="Times New Roman"/>
        <charset val="1"/>
      </rPr>
      <t>T3-</t>
    </r>
    <r>
      <rPr>
        <sz val="11"/>
        <color rgb="FF000000"/>
        <rFont val="宋体"/>
        <charset val="134"/>
      </rPr>
      <t>喀什徠宁</t>
    </r>
  </si>
  <si>
    <t>C24</t>
  </si>
  <si>
    <t>30L</t>
  </si>
  <si>
    <t>喀什行</t>
  </si>
  <si>
    <t>10:21-16:59</t>
  </si>
  <si>
    <r>
      <rPr>
        <sz val="10.5"/>
        <color rgb="FF000000"/>
        <rFont val="Times New Roman"/>
        <charset val="1"/>
      </rPr>
      <t>11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18F</t>
    </r>
  </si>
  <si>
    <r>
      <rPr>
        <sz val="10.5"/>
        <color rgb="FF000000"/>
        <rFont val="Times New Roman"/>
        <charset val="1"/>
      </rPr>
      <t>21</t>
    </r>
    <r>
      <rPr>
        <sz val="11"/>
        <color rgb="FF000000"/>
        <rFont val="宋体"/>
        <charset val="134"/>
      </rPr>
      <t>夏返校</t>
    </r>
  </si>
  <si>
    <t>其他</t>
  </si>
  <si>
    <r>
      <rPr>
        <sz val="11"/>
        <color rgb="FF000000"/>
        <rFont val="宋体"/>
        <charset val="134"/>
      </rPr>
      <t>大巴</t>
    </r>
    <r>
      <rPr>
        <sz val="11"/>
        <color rgb="FF000000"/>
        <rFont val="Times New Roman"/>
        <charset val="1"/>
      </rPr>
      <t>+</t>
    </r>
    <r>
      <rPr>
        <sz val="11"/>
        <color rgb="FF000000"/>
        <rFont val="宋体"/>
        <charset val="134"/>
      </rPr>
      <t>快艇</t>
    </r>
  </si>
  <si>
    <t>上海南浦</t>
  </si>
  <si>
    <t>舟山岱山</t>
  </si>
  <si>
    <r>
      <rPr>
        <sz val="11"/>
        <color rgb="FF000000"/>
        <rFont val="宋体"/>
        <charset val="134"/>
      </rPr>
      <t>南浦大桥长途旅游客运站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岱山竹屿码头</t>
    </r>
  </si>
  <si>
    <t>14:35-20:33</t>
  </si>
  <si>
    <t>G145</t>
  </si>
  <si>
    <r>
      <rPr>
        <sz val="10.5"/>
        <color rgb="FF000000"/>
        <rFont val="Times New Roman"/>
        <charset val="1"/>
      </rPr>
      <t>15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09F</t>
    </r>
  </si>
  <si>
    <t>高金面试</t>
  </si>
  <si>
    <t>10:21-17:05</t>
  </si>
  <si>
    <t>G274</t>
  </si>
  <si>
    <t>14B</t>
  </si>
  <si>
    <r>
      <rPr>
        <sz val="10.5"/>
        <color rgb="FF000000"/>
        <rFont val="Times New Roman"/>
        <charset val="1"/>
      </rPr>
      <t>10</t>
    </r>
    <r>
      <rPr>
        <sz val="10.5"/>
        <color rgb="FF000000"/>
        <rFont val="宋体"/>
        <charset val="134"/>
      </rPr>
      <t>车</t>
    </r>
    <r>
      <rPr>
        <sz val="10.5"/>
        <color rgb="FF000000"/>
        <rFont val="Times New Roman"/>
        <charset val="1"/>
      </rPr>
      <t>10F</t>
    </r>
  </si>
  <si>
    <r>
      <rPr>
        <sz val="10.5"/>
        <color rgb="FF000000"/>
        <rFont val="Times New Roman"/>
        <charset val="1"/>
      </rPr>
      <t>21</t>
    </r>
    <r>
      <rPr>
        <sz val="11"/>
        <color rgb="FF000000"/>
        <rFont val="宋体"/>
        <charset val="134"/>
      </rPr>
      <t>春返校，车票报销</t>
    </r>
  </si>
  <si>
    <t>10:38-12:40</t>
  </si>
  <si>
    <t>MU5178</t>
  </si>
  <si>
    <r>
      <rPr>
        <sz val="11"/>
        <color rgb="FF000000"/>
        <rFont val="宋体"/>
        <charset val="134"/>
      </rPr>
      <t>首都</t>
    </r>
    <r>
      <rPr>
        <sz val="11"/>
        <color rgb="FF000000"/>
        <rFont val="Times New Roman"/>
        <charset val="1"/>
      </rPr>
      <t>T2-</t>
    </r>
    <r>
      <rPr>
        <sz val="11"/>
        <color rgb="FF000000"/>
        <rFont val="宋体"/>
        <charset val="134"/>
      </rPr>
      <t>栎社</t>
    </r>
    <r>
      <rPr>
        <sz val="11"/>
        <color rgb="FF000000"/>
        <rFont val="Times New Roman"/>
        <charset val="1"/>
      </rPr>
      <t>T2</t>
    </r>
  </si>
  <si>
    <t>34</t>
  </si>
  <si>
    <t>48L</t>
  </si>
  <si>
    <r>
      <rPr>
        <sz val="10.5"/>
        <color rgb="FF000000"/>
        <rFont val="Times New Roman"/>
        <charset val="1"/>
      </rPr>
      <t>21</t>
    </r>
    <r>
      <rPr>
        <sz val="11"/>
        <color rgb="FF000000"/>
        <rFont val="宋体"/>
        <charset val="134"/>
      </rPr>
      <t>春返乡</t>
    </r>
  </si>
  <si>
    <t>10:23-17:05</t>
  </si>
  <si>
    <t>11A</t>
  </si>
  <si>
    <r>
      <rPr>
        <sz val="10.5"/>
        <color rgb="FF000000"/>
        <rFont val="Times New Roman"/>
        <charset val="1"/>
      </rPr>
      <t>20</t>
    </r>
    <r>
      <rPr>
        <sz val="11"/>
        <color rgb="FF000000"/>
        <rFont val="宋体"/>
        <charset val="134"/>
      </rPr>
      <t>秋返校</t>
    </r>
  </si>
  <si>
    <t>09:40-12:35</t>
  </si>
  <si>
    <t>9C6163</t>
  </si>
  <si>
    <r>
      <rPr>
        <sz val="11"/>
        <color rgb="FF000000"/>
        <rFont val="宋体"/>
        <charset val="134"/>
      </rPr>
      <t>空客</t>
    </r>
    <r>
      <rPr>
        <sz val="11"/>
        <color rgb="FF000000"/>
        <rFont val="Times New Roman"/>
        <charset val="1"/>
      </rPr>
      <t>320</t>
    </r>
  </si>
  <si>
    <r>
      <rPr>
        <sz val="11"/>
        <color rgb="FF000000"/>
        <rFont val="宋体"/>
        <charset val="134"/>
      </rPr>
      <t>双流</t>
    </r>
    <r>
      <rPr>
        <sz val="11"/>
        <color rgb="FF000000"/>
        <rFont val="Times New Roman"/>
        <charset val="1"/>
      </rPr>
      <t>T2-</t>
    </r>
    <r>
      <rPr>
        <sz val="11"/>
        <color rgb="FF000000"/>
        <rFont val="宋体"/>
        <charset val="134"/>
      </rPr>
      <t>栎社</t>
    </r>
    <r>
      <rPr>
        <sz val="11"/>
        <color rgb="FF000000"/>
        <rFont val="Times New Roman"/>
        <charset val="1"/>
      </rPr>
      <t>T2</t>
    </r>
  </si>
  <si>
    <t>川藏行返程</t>
  </si>
  <si>
    <t>17:30-19:26</t>
  </si>
  <si>
    <t>EU2744</t>
  </si>
  <si>
    <t>拉萨贡嘎</t>
  </si>
  <si>
    <r>
      <rPr>
        <sz val="11"/>
        <color rgb="FF000000"/>
        <rFont val="宋体"/>
        <charset val="134"/>
      </rPr>
      <t>贡嘎</t>
    </r>
    <r>
      <rPr>
        <sz val="11"/>
        <color rgb="FF000000"/>
        <rFont val="Times New Roman"/>
        <charset val="1"/>
      </rPr>
      <t>T2-</t>
    </r>
    <r>
      <rPr>
        <sz val="11"/>
        <color rgb="FF000000"/>
        <rFont val="宋体"/>
        <charset val="134"/>
      </rPr>
      <t>双流</t>
    </r>
    <r>
      <rPr>
        <sz val="11"/>
        <color rgb="FF000000"/>
        <rFont val="Times New Roman"/>
        <charset val="1"/>
      </rPr>
      <t>T2</t>
    </r>
  </si>
  <si>
    <t>A4</t>
  </si>
  <si>
    <t>8F</t>
  </si>
  <si>
    <t>成都航空</t>
  </si>
  <si>
    <t>成都行</t>
  </si>
  <si>
    <t>18:40-21:33</t>
  </si>
  <si>
    <t>Z8804</t>
  </si>
  <si>
    <t>日喀则</t>
  </si>
  <si>
    <t>拉萨</t>
  </si>
  <si>
    <t>新空直达</t>
  </si>
  <si>
    <r>
      <rPr>
        <sz val="11"/>
        <color rgb="FF000000"/>
        <rFont val="宋体"/>
        <charset val="134"/>
      </rPr>
      <t>日喀则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拉萨</t>
    </r>
  </si>
  <si>
    <r>
      <rPr>
        <sz val="11"/>
        <color rgb="FF000000"/>
        <rFont val="宋体"/>
        <charset val="134"/>
      </rPr>
      <t>加</t>
    </r>
    <r>
      <rPr>
        <sz val="11"/>
        <color rgb="FF000000"/>
        <rFont val="Times New Roman"/>
        <charset val="1"/>
      </rPr>
      <t>1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056</t>
    </r>
  </si>
  <si>
    <t>珠峰返，车饰，藏民</t>
  </si>
  <si>
    <t>定日</t>
  </si>
  <si>
    <r>
      <rPr>
        <sz val="11"/>
        <color rgb="FF000000"/>
        <rFont val="宋体"/>
        <charset val="134"/>
      </rPr>
      <t>定日曲宗村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日喀则</t>
    </r>
  </si>
  <si>
    <r>
      <rPr>
        <sz val="11"/>
        <color rgb="FF000000"/>
        <rFont val="宋体"/>
        <charset val="134"/>
      </rPr>
      <t>日喀则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定日曲宗村</t>
    </r>
  </si>
  <si>
    <t>嘉措拉山、珠峰大本营</t>
  </si>
  <si>
    <r>
      <rPr>
        <sz val="11"/>
        <color rgb="FF000000"/>
        <rFont val="宋体"/>
        <charset val="134"/>
      </rPr>
      <t>拉萨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日喀则</t>
    </r>
  </si>
  <si>
    <t>羊卓雍措、卡若拉冰川</t>
  </si>
  <si>
    <t>林芝</t>
  </si>
  <si>
    <r>
      <rPr>
        <sz val="11"/>
        <color rgb="FF000000"/>
        <rFont val="宋体"/>
        <charset val="134"/>
      </rPr>
      <t>林芝索松村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拉萨</t>
    </r>
  </si>
  <si>
    <t>南迦巴瓦峰、卡定沟</t>
  </si>
  <si>
    <r>
      <rPr>
        <sz val="11"/>
        <color rgb="FF000000"/>
        <rFont val="宋体"/>
        <charset val="134"/>
      </rPr>
      <t>拉萨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林芝索松村</t>
    </r>
  </si>
  <si>
    <t>巴松措、雅鲁藏布大峡谷</t>
  </si>
  <si>
    <t>20:08-19:35(+2)</t>
  </si>
  <si>
    <t>Z164</t>
  </si>
  <si>
    <t>直达特快</t>
  </si>
  <si>
    <r>
      <rPr>
        <sz val="11"/>
        <color rgb="FF000000"/>
        <rFont val="宋体"/>
        <charset val="134"/>
      </rPr>
      <t>上海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拉萨</t>
    </r>
  </si>
  <si>
    <r>
      <rPr>
        <sz val="10.5"/>
        <color rgb="FF000000"/>
        <rFont val="Times New Roman"/>
        <charset val="1"/>
      </rPr>
      <t>47</t>
    </r>
    <r>
      <rPr>
        <sz val="11"/>
        <color rgb="FF000000"/>
        <rFont val="宋体"/>
        <charset val="134"/>
      </rPr>
      <t>时</t>
    </r>
    <r>
      <rPr>
        <sz val="11"/>
        <color rgb="FF000000"/>
        <rFont val="Times New Roman"/>
        <charset val="1"/>
      </rPr>
      <t>27</t>
    </r>
    <r>
      <rPr>
        <sz val="11"/>
        <color rgb="FF000000"/>
        <rFont val="宋体"/>
        <charset val="134"/>
      </rPr>
      <t>分</t>
    </r>
  </si>
  <si>
    <r>
      <rPr>
        <sz val="11"/>
        <color rgb="FF000000"/>
        <rFont val="宋体"/>
        <charset val="134"/>
      </rPr>
      <t>候车室</t>
    </r>
    <r>
      <rPr>
        <sz val="11"/>
        <color rgb="FF000000"/>
        <rFont val="Times New Roman"/>
        <charset val="1"/>
      </rPr>
      <t>3</t>
    </r>
  </si>
  <si>
    <r>
      <rPr>
        <sz val="10.5"/>
        <color rgb="FF000000"/>
        <rFont val="Times New Roman"/>
        <charset val="1"/>
      </rPr>
      <t>03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011</t>
    </r>
    <r>
      <rPr>
        <sz val="11"/>
        <color rgb="FF000000"/>
        <rFont val="宋体"/>
        <charset val="134"/>
      </rPr>
      <t>上铺</t>
    </r>
  </si>
  <si>
    <t>进藏</t>
  </si>
  <si>
    <t>14:17-16:11</t>
  </si>
  <si>
    <t>G7516</t>
  </si>
  <si>
    <t>温岭</t>
  </si>
  <si>
    <r>
      <rPr>
        <sz val="11"/>
        <color rgb="FF000000"/>
        <rFont val="宋体"/>
        <charset val="134"/>
      </rPr>
      <t>宁波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上海虹桥</t>
    </r>
  </si>
  <si>
    <r>
      <rPr>
        <sz val="10.5"/>
        <color rgb="FF000000"/>
        <rFont val="Times New Roman"/>
        <charset val="1"/>
      </rPr>
      <t>10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10C</t>
    </r>
  </si>
  <si>
    <t>上海中转</t>
  </si>
  <si>
    <t>15:23-16:37</t>
  </si>
  <si>
    <t>G7583</t>
  </si>
  <si>
    <t>常州</t>
  </si>
  <si>
    <r>
      <rPr>
        <sz val="11"/>
        <color rgb="FF000000"/>
        <rFont val="宋体"/>
        <charset val="134"/>
      </rPr>
      <t>桐乡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宁波</t>
    </r>
  </si>
  <si>
    <r>
      <rPr>
        <sz val="10.5"/>
        <color rgb="FF000000"/>
        <rFont val="Times New Roman"/>
        <charset val="1"/>
      </rPr>
      <t>08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08D</t>
    </r>
  </si>
  <si>
    <t>乌镇行返程</t>
  </si>
  <si>
    <t>10:28-11:48</t>
  </si>
  <si>
    <t>G7508</t>
  </si>
  <si>
    <t>台州</t>
  </si>
  <si>
    <r>
      <rPr>
        <sz val="11"/>
        <color rgb="FF000000"/>
        <rFont val="宋体"/>
        <charset val="134"/>
      </rPr>
      <t>宁波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桐乡</t>
    </r>
  </si>
  <si>
    <t>9A</t>
  </si>
  <si>
    <r>
      <rPr>
        <sz val="10.5"/>
        <color rgb="FF000000"/>
        <rFont val="Times New Roman"/>
        <charset val="1"/>
      </rPr>
      <t>07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07C</t>
    </r>
  </si>
  <si>
    <t>乌镇行</t>
  </si>
  <si>
    <t>12:45-19:40</t>
  </si>
  <si>
    <t>G167</t>
  </si>
  <si>
    <t>温州南</t>
  </si>
  <si>
    <r>
      <rPr>
        <sz val="10.5"/>
        <color rgb="FF000000"/>
        <rFont val="Times New Roman"/>
        <charset val="1"/>
      </rPr>
      <t>06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13F</t>
    </r>
  </si>
  <si>
    <r>
      <rPr>
        <sz val="10.5"/>
        <color rgb="FF000000"/>
        <rFont val="Times New Roman"/>
        <charset val="1"/>
      </rPr>
      <t>19</t>
    </r>
    <r>
      <rPr>
        <sz val="11"/>
        <color rgb="FF000000"/>
        <rFont val="宋体"/>
        <charset val="134"/>
      </rPr>
      <t>冬返乡；青岛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徐州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杭州</t>
    </r>
  </si>
  <si>
    <t>12:08-12:38</t>
  </si>
  <si>
    <t>C2036</t>
  </si>
  <si>
    <t>天津</t>
  </si>
  <si>
    <t>城际列车</t>
  </si>
  <si>
    <r>
      <rPr>
        <sz val="11"/>
        <color rgb="FF000000"/>
        <rFont val="宋体"/>
        <charset val="134"/>
      </rPr>
      <t>天津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北京南</t>
    </r>
  </si>
  <si>
    <r>
      <rPr>
        <sz val="10.5"/>
        <color rgb="FF000000"/>
        <rFont val="Times New Roman"/>
        <charset val="1"/>
      </rPr>
      <t>30</t>
    </r>
    <r>
      <rPr>
        <sz val="11"/>
        <color rgb="FF000000"/>
        <rFont val="宋体"/>
        <charset val="134"/>
      </rPr>
      <t>分</t>
    </r>
  </si>
  <si>
    <t>13B</t>
  </si>
  <si>
    <r>
      <rPr>
        <sz val="10.5"/>
        <color rgb="FF000000"/>
        <rFont val="Times New Roman"/>
        <charset val="1"/>
      </rPr>
      <t>05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13A</t>
    </r>
  </si>
  <si>
    <r>
      <rPr>
        <sz val="10.5"/>
        <color rgb="FF000000"/>
        <rFont val="Times New Roman"/>
        <charset val="1"/>
      </rPr>
      <t>19</t>
    </r>
    <r>
      <rPr>
        <sz val="11"/>
        <color rgb="FF000000"/>
        <rFont val="宋体"/>
        <charset val="134"/>
      </rPr>
      <t>京津返程</t>
    </r>
  </si>
  <si>
    <t>07:18-13:04(+1)</t>
  </si>
  <si>
    <r>
      <rPr>
        <sz val="11"/>
        <color rgb="FF000000"/>
        <rFont val="Times New Roman"/>
        <charset val="1"/>
      </rPr>
      <t>19</t>
    </r>
    <r>
      <rPr>
        <sz val="11"/>
        <color rgb="FF000000"/>
        <rFont val="宋体"/>
        <charset val="134"/>
      </rPr>
      <t>暑期车</t>
    </r>
  </si>
  <si>
    <r>
      <rPr>
        <sz val="11"/>
        <color rgb="FF000000"/>
        <rFont val="宋体"/>
        <charset val="134"/>
      </rPr>
      <t>北京大学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天津站</t>
    </r>
  </si>
  <si>
    <r>
      <rPr>
        <sz val="10.5"/>
        <color rgb="FF000000"/>
        <rFont val="Times New Roman"/>
        <charset val="1"/>
      </rPr>
      <t>19</t>
    </r>
    <r>
      <rPr>
        <sz val="10.5"/>
        <color rgb="FF000000"/>
        <rFont val="宋体"/>
        <charset val="134"/>
      </rPr>
      <t>京津</t>
    </r>
  </si>
  <si>
    <t>12:32-14:21</t>
  </si>
  <si>
    <t>CA1596</t>
  </si>
  <si>
    <r>
      <rPr>
        <sz val="11"/>
        <color rgb="FF000000"/>
        <rFont val="宋体"/>
        <charset val="134"/>
      </rPr>
      <t>萧山</t>
    </r>
    <r>
      <rPr>
        <sz val="11"/>
        <color rgb="FF000000"/>
        <rFont val="Times New Roman"/>
        <charset val="1"/>
      </rPr>
      <t>T1-</t>
    </r>
    <r>
      <rPr>
        <sz val="11"/>
        <color rgb="FF000000"/>
        <rFont val="宋体"/>
        <charset val="134"/>
      </rPr>
      <t>首都</t>
    </r>
    <r>
      <rPr>
        <sz val="11"/>
        <color rgb="FF000000"/>
        <rFont val="Times New Roman"/>
        <charset val="1"/>
      </rPr>
      <t>T3</t>
    </r>
  </si>
  <si>
    <t>B03</t>
  </si>
  <si>
    <t>31A</t>
  </si>
  <si>
    <t>返校</t>
  </si>
  <si>
    <t>18:26-20:46</t>
  </si>
  <si>
    <t>K79</t>
  </si>
  <si>
    <t>昆明</t>
  </si>
  <si>
    <t>快速</t>
  </si>
  <si>
    <r>
      <rPr>
        <sz val="11"/>
        <color rgb="FF000000"/>
        <rFont val="宋体"/>
        <charset val="134"/>
      </rPr>
      <t>上海南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杭州东</t>
    </r>
  </si>
  <si>
    <r>
      <rPr>
        <sz val="10.5"/>
        <color rgb="FF000000"/>
        <rFont val="Times New Roman"/>
        <charset val="1"/>
      </rPr>
      <t>11</t>
    </r>
    <r>
      <rPr>
        <sz val="11"/>
        <color rgb="FF000000"/>
        <rFont val="宋体"/>
        <charset val="134"/>
      </rPr>
      <t>候车区</t>
    </r>
  </si>
  <si>
    <r>
      <rPr>
        <sz val="10.5"/>
        <color rgb="FF000000"/>
        <rFont val="Times New Roman"/>
        <charset val="1"/>
      </rPr>
      <t>14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050</t>
    </r>
  </si>
  <si>
    <t>杭州行</t>
  </si>
  <si>
    <t>19:22-07:26(+1)</t>
  </si>
  <si>
    <t>D701</t>
  </si>
  <si>
    <t>动车组</t>
  </si>
  <si>
    <r>
      <rPr>
        <sz val="10.5"/>
        <color rgb="FF000000"/>
        <rFont val="Times New Roman"/>
        <charset val="1"/>
      </rPr>
      <t>04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010</t>
    </r>
    <r>
      <rPr>
        <sz val="11"/>
        <color rgb="FF000000"/>
        <rFont val="宋体"/>
        <charset val="134"/>
      </rPr>
      <t>上铺</t>
    </r>
  </si>
  <si>
    <t>上海行</t>
  </si>
  <si>
    <t>14:38-21:14</t>
  </si>
  <si>
    <t>D43</t>
  </si>
  <si>
    <t>大连北</t>
  </si>
  <si>
    <r>
      <rPr>
        <sz val="11"/>
        <color rgb="FF000000"/>
        <rFont val="宋体"/>
        <charset val="134"/>
      </rPr>
      <t>大连北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北京</t>
    </r>
  </si>
  <si>
    <t>A7</t>
  </si>
  <si>
    <r>
      <rPr>
        <sz val="10.5"/>
        <color rgb="FF000000"/>
        <rFont val="Times New Roman"/>
        <charset val="1"/>
      </rPr>
      <t>11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01B</t>
    </r>
  </si>
  <si>
    <r>
      <rPr>
        <sz val="10.5"/>
        <color rgb="FF000000"/>
        <rFont val="Times New Roman"/>
        <charset val="1"/>
      </rPr>
      <t>2019</t>
    </r>
    <r>
      <rPr>
        <sz val="10.5"/>
        <color rgb="FF000000"/>
        <rFont val="宋体"/>
        <charset val="134"/>
      </rPr>
      <t>实践团返程</t>
    </r>
  </si>
  <si>
    <t>06:07-20:55</t>
  </si>
  <si>
    <r>
      <rPr>
        <sz val="10.5"/>
        <color rgb="FF000000"/>
        <rFont val="Times New Roman"/>
        <charset val="1"/>
      </rPr>
      <t>19</t>
    </r>
    <r>
      <rPr>
        <sz val="10.5"/>
        <color rgb="FF000000"/>
        <rFont val="宋体"/>
        <charset val="134"/>
      </rPr>
      <t>暑期车</t>
    </r>
  </si>
  <si>
    <t>海拉尔</t>
  </si>
  <si>
    <t>大连</t>
  </si>
  <si>
    <r>
      <rPr>
        <sz val="10.5"/>
        <color rgb="FF000000"/>
        <rFont val="宋体"/>
        <charset val="134"/>
      </rPr>
      <t>大郑</t>
    </r>
    <r>
      <rPr>
        <sz val="10.5"/>
        <color rgb="FF000000"/>
        <rFont val="Times New Roman"/>
        <charset val="1"/>
      </rPr>
      <t>-</t>
    </r>
    <r>
      <rPr>
        <sz val="10.5"/>
        <color rgb="FF000000"/>
        <rFont val="宋体"/>
        <charset val="134"/>
      </rPr>
      <t>大连</t>
    </r>
  </si>
  <si>
    <t>06:44-20:22</t>
  </si>
  <si>
    <r>
      <rPr>
        <sz val="10.5"/>
        <color rgb="FF000000"/>
        <rFont val="宋体"/>
        <charset val="134"/>
      </rPr>
      <t>丹东</t>
    </r>
    <r>
      <rPr>
        <sz val="10.5"/>
        <color rgb="FF000000"/>
        <rFont val="Times New Roman"/>
        <charset val="1"/>
      </rPr>
      <t>-</t>
    </r>
    <r>
      <rPr>
        <sz val="10.5"/>
        <color rgb="FF000000"/>
        <rFont val="宋体"/>
        <charset val="134"/>
      </rPr>
      <t>大郑</t>
    </r>
  </si>
  <si>
    <t>06:28-19:01</t>
  </si>
  <si>
    <r>
      <rPr>
        <sz val="10.5"/>
        <color rgb="FF000000"/>
        <rFont val="宋体"/>
        <charset val="134"/>
      </rPr>
      <t>宽甸</t>
    </r>
    <r>
      <rPr>
        <sz val="10.5"/>
        <color rgb="FF000000"/>
        <rFont val="Times New Roman"/>
        <charset val="1"/>
      </rPr>
      <t>-</t>
    </r>
    <r>
      <rPr>
        <sz val="10.5"/>
        <color rgb="FF000000"/>
        <rFont val="宋体"/>
        <charset val="134"/>
      </rPr>
      <t>丹东</t>
    </r>
  </si>
  <si>
    <t>06:29-18:02</t>
  </si>
  <si>
    <r>
      <rPr>
        <sz val="10.5"/>
        <color rgb="FF000000"/>
        <rFont val="宋体"/>
        <charset val="134"/>
      </rPr>
      <t>桓仁</t>
    </r>
    <r>
      <rPr>
        <sz val="10.5"/>
        <color rgb="FF000000"/>
        <rFont val="Times New Roman"/>
        <charset val="1"/>
      </rPr>
      <t>-</t>
    </r>
    <r>
      <rPr>
        <sz val="10.5"/>
        <color rgb="FF000000"/>
        <rFont val="宋体"/>
        <charset val="134"/>
      </rPr>
      <t>宽甸</t>
    </r>
  </si>
  <si>
    <t>07:08-18:00</t>
  </si>
  <si>
    <r>
      <rPr>
        <sz val="10.5"/>
        <color rgb="FF000000"/>
        <rFont val="宋体"/>
        <charset val="134"/>
      </rPr>
      <t>通化</t>
    </r>
    <r>
      <rPr>
        <sz val="10.5"/>
        <color rgb="FF000000"/>
        <rFont val="Times New Roman"/>
        <charset val="1"/>
      </rPr>
      <t>-</t>
    </r>
    <r>
      <rPr>
        <sz val="10.5"/>
        <color rgb="FF000000"/>
        <rFont val="宋体"/>
        <charset val="134"/>
      </rPr>
      <t>桓仁</t>
    </r>
  </si>
  <si>
    <t>06:16-18:14</t>
  </si>
  <si>
    <r>
      <rPr>
        <sz val="10.5"/>
        <color rgb="FF000000"/>
        <rFont val="宋体"/>
        <charset val="134"/>
      </rPr>
      <t>临江</t>
    </r>
    <r>
      <rPr>
        <sz val="10.5"/>
        <color rgb="FF000000"/>
        <rFont val="Times New Roman"/>
        <charset val="1"/>
      </rPr>
      <t>-</t>
    </r>
    <r>
      <rPr>
        <sz val="10.5"/>
        <color rgb="FF000000"/>
        <rFont val="宋体"/>
        <charset val="134"/>
      </rPr>
      <t>通化</t>
    </r>
  </si>
  <si>
    <t>05:56-12:30</t>
  </si>
  <si>
    <r>
      <rPr>
        <sz val="10.5"/>
        <color rgb="FF000000"/>
        <rFont val="宋体"/>
        <charset val="134"/>
      </rPr>
      <t>抚松</t>
    </r>
    <r>
      <rPr>
        <sz val="10.5"/>
        <color rgb="FF000000"/>
        <rFont val="Times New Roman"/>
        <charset val="1"/>
      </rPr>
      <t>-</t>
    </r>
    <r>
      <rPr>
        <sz val="10.5"/>
        <color rgb="FF000000"/>
        <rFont val="宋体"/>
        <charset val="134"/>
      </rPr>
      <t>临江</t>
    </r>
  </si>
  <si>
    <t>06:09-17:37</t>
  </si>
  <si>
    <r>
      <rPr>
        <sz val="10.5"/>
        <color rgb="FF000000"/>
        <rFont val="宋体"/>
        <charset val="134"/>
      </rPr>
      <t>大蒲柴河</t>
    </r>
    <r>
      <rPr>
        <sz val="10.5"/>
        <color rgb="FF000000"/>
        <rFont val="Times New Roman"/>
        <charset val="1"/>
      </rPr>
      <t>-</t>
    </r>
    <r>
      <rPr>
        <sz val="10.5"/>
        <color rgb="FF000000"/>
        <rFont val="宋体"/>
        <charset val="134"/>
      </rPr>
      <t>抚松</t>
    </r>
  </si>
  <si>
    <t>07:22-13:46</t>
  </si>
  <si>
    <r>
      <rPr>
        <sz val="10.5"/>
        <color rgb="FF000000"/>
        <rFont val="宋体"/>
        <charset val="134"/>
      </rPr>
      <t>敦化</t>
    </r>
    <r>
      <rPr>
        <sz val="10.5"/>
        <color rgb="FF000000"/>
        <rFont val="Times New Roman"/>
        <charset val="1"/>
      </rPr>
      <t>-</t>
    </r>
    <r>
      <rPr>
        <sz val="10.5"/>
        <color rgb="FF000000"/>
        <rFont val="宋体"/>
        <charset val="134"/>
      </rPr>
      <t>大蒲柴河</t>
    </r>
    <r>
      <rPr>
        <sz val="10.5"/>
        <color rgb="FF000000"/>
        <rFont val="宋体"/>
        <charset val="1"/>
      </rPr>
      <t> </t>
    </r>
  </si>
  <si>
    <t>06:27-18:11</t>
  </si>
  <si>
    <r>
      <rPr>
        <sz val="10.5"/>
        <color rgb="FF000000"/>
        <rFont val="宋体"/>
        <charset val="134"/>
      </rPr>
      <t>蛟河</t>
    </r>
    <r>
      <rPr>
        <sz val="10.5"/>
        <color rgb="FF000000"/>
        <rFont val="Times New Roman"/>
        <charset val="1"/>
      </rPr>
      <t>-</t>
    </r>
    <r>
      <rPr>
        <sz val="10.5"/>
        <color rgb="FF000000"/>
        <rFont val="宋体"/>
        <charset val="134"/>
      </rPr>
      <t>敦化</t>
    </r>
  </si>
  <si>
    <t>07:20-16:03</t>
  </si>
  <si>
    <r>
      <rPr>
        <sz val="10.5"/>
        <color rgb="FF000000"/>
        <rFont val="宋体"/>
        <charset val="134"/>
      </rPr>
      <t>舒兰</t>
    </r>
    <r>
      <rPr>
        <sz val="10.5"/>
        <color rgb="FF000000"/>
        <rFont val="Times New Roman"/>
        <charset val="1"/>
      </rPr>
      <t>-</t>
    </r>
    <r>
      <rPr>
        <sz val="10.5"/>
        <color rgb="FF000000"/>
        <rFont val="宋体"/>
        <charset val="134"/>
      </rPr>
      <t>蛟河</t>
    </r>
  </si>
  <si>
    <t>07:28-09:36</t>
  </si>
  <si>
    <t>吉林</t>
  </si>
  <si>
    <t>山河屯</t>
  </si>
  <si>
    <r>
      <rPr>
        <sz val="11"/>
        <color rgb="FF000000"/>
        <rFont val="宋体"/>
        <charset val="134"/>
      </rPr>
      <t>吉林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舒兰</t>
    </r>
  </si>
  <si>
    <r>
      <rPr>
        <sz val="10.5"/>
        <color rgb="FF000000"/>
        <rFont val="Times New Roman"/>
        <charset val="1"/>
      </rPr>
      <t>03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016</t>
    </r>
  </si>
  <si>
    <t>赴舒兰</t>
  </si>
  <si>
    <t>06:15-06:55</t>
  </si>
  <si>
    <t>C1245</t>
  </si>
  <si>
    <t>长春</t>
  </si>
  <si>
    <t>城际高速</t>
  </si>
  <si>
    <r>
      <rPr>
        <sz val="11"/>
        <color rgb="FF000000"/>
        <rFont val="宋体"/>
        <charset val="134"/>
      </rPr>
      <t>长春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吉林</t>
    </r>
  </si>
  <si>
    <r>
      <rPr>
        <sz val="10.5"/>
        <color rgb="FF000000"/>
        <rFont val="Times New Roman"/>
        <charset val="1"/>
      </rPr>
      <t>40</t>
    </r>
    <r>
      <rPr>
        <sz val="11"/>
        <color rgb="FF000000"/>
        <rFont val="宋体"/>
        <charset val="134"/>
      </rPr>
      <t>分</t>
    </r>
  </si>
  <si>
    <t>A14</t>
  </si>
  <si>
    <r>
      <rPr>
        <sz val="10.5"/>
        <color rgb="FF000000"/>
        <rFont val="Times New Roman"/>
        <charset val="1"/>
      </rPr>
      <t>04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13B</t>
    </r>
  </si>
  <si>
    <t>吉林中转</t>
  </si>
  <si>
    <t>08:30-11:08</t>
  </si>
  <si>
    <t>C1302</t>
  </si>
  <si>
    <t>乌兰浩特</t>
  </si>
  <si>
    <r>
      <rPr>
        <sz val="11"/>
        <color rgb="FF000000"/>
        <rFont val="宋体"/>
        <charset val="134"/>
      </rPr>
      <t>白城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长春</t>
    </r>
  </si>
  <si>
    <r>
      <rPr>
        <sz val="10.5"/>
        <color rgb="FF000000"/>
        <rFont val="Times New Roman"/>
        <charset val="1"/>
      </rPr>
      <t>15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14B</t>
    </r>
  </si>
  <si>
    <t>长春中转</t>
  </si>
  <si>
    <t>06:00-16:29</t>
  </si>
  <si>
    <r>
      <rPr>
        <sz val="11"/>
        <color rgb="FF000000"/>
        <rFont val="宋体"/>
        <charset val="134"/>
      </rPr>
      <t>乌兰浩特</t>
    </r>
    <r>
      <rPr>
        <sz val="11"/>
        <color rgb="FF000000"/>
        <rFont val="Times New Roman"/>
        <charset val="1"/>
      </rPr>
      <t>-</t>
    </r>
    <r>
      <rPr>
        <sz val="10.5"/>
        <color rgb="FF000000"/>
        <rFont val="宋体"/>
        <charset val="134"/>
      </rPr>
      <t>白城</t>
    </r>
  </si>
  <si>
    <t>10:53-18:00</t>
  </si>
  <si>
    <r>
      <rPr>
        <sz val="11"/>
        <color rgb="FF000000"/>
        <rFont val="宋体"/>
        <charset val="134"/>
      </rPr>
      <t>大石寨服务区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乌兰浩特</t>
    </r>
  </si>
  <si>
    <t>06:38-09:52</t>
  </si>
  <si>
    <t>货车客车</t>
  </si>
  <si>
    <r>
      <rPr>
        <sz val="10.5"/>
        <color rgb="FF000000"/>
        <rFont val="宋体"/>
        <charset val="134"/>
      </rPr>
      <t>伊尔施</t>
    </r>
    <r>
      <rPr>
        <sz val="10.5"/>
        <color rgb="FF000000"/>
        <rFont val="Times New Roman"/>
        <charset val="1"/>
      </rPr>
      <t>-</t>
    </r>
    <r>
      <rPr>
        <sz val="10.5"/>
        <color rgb="FF000000"/>
        <rFont val="宋体"/>
        <charset val="134"/>
      </rPr>
      <t>大石寨服务区</t>
    </r>
  </si>
  <si>
    <t>途径乌兰浩特</t>
  </si>
  <si>
    <r>
      <rPr>
        <sz val="10.5"/>
        <color rgb="FF000000"/>
        <rFont val="宋体"/>
        <charset val="134"/>
      </rPr>
      <t>巴日图</t>
    </r>
    <r>
      <rPr>
        <sz val="10.5"/>
        <color rgb="FF000000"/>
        <rFont val="Times New Roman"/>
        <charset val="1"/>
      </rPr>
      <t>-</t>
    </r>
    <r>
      <rPr>
        <sz val="10.5"/>
        <color rgb="FF000000"/>
        <rFont val="宋体"/>
        <charset val="134"/>
      </rPr>
      <t>伊尔施</t>
    </r>
  </si>
  <si>
    <r>
      <rPr>
        <sz val="10.5"/>
        <color rgb="FF000000"/>
        <rFont val="宋体"/>
        <charset val="134"/>
      </rPr>
      <t>红花尔基</t>
    </r>
    <r>
      <rPr>
        <sz val="10.5"/>
        <color rgb="FF000000"/>
        <rFont val="Times New Roman"/>
        <charset val="1"/>
      </rPr>
      <t>-</t>
    </r>
    <r>
      <rPr>
        <sz val="10.5"/>
        <color rgb="FF000000"/>
        <rFont val="宋体"/>
        <charset val="134"/>
      </rPr>
      <t>巴日图</t>
    </r>
  </si>
  <si>
    <r>
      <rPr>
        <sz val="10.5"/>
        <color rgb="FF000000"/>
        <rFont val="宋体"/>
        <charset val="134"/>
      </rPr>
      <t>海拉尔</t>
    </r>
    <r>
      <rPr>
        <sz val="10.5"/>
        <color rgb="FF000000"/>
        <rFont val="Times New Roman"/>
        <charset val="1"/>
      </rPr>
      <t>-</t>
    </r>
    <r>
      <rPr>
        <sz val="10.5"/>
        <color rgb="FF000000"/>
        <rFont val="宋体"/>
        <charset val="134"/>
      </rPr>
      <t>红花尔基</t>
    </r>
  </si>
  <si>
    <t>22:13-04:41(+2)</t>
  </si>
  <si>
    <t>K1303</t>
  </si>
  <si>
    <t>空调快速</t>
  </si>
  <si>
    <r>
      <rPr>
        <sz val="11"/>
        <color rgb="FF000000"/>
        <rFont val="宋体"/>
        <charset val="134"/>
      </rPr>
      <t>北京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海拉尔</t>
    </r>
  </si>
  <si>
    <r>
      <rPr>
        <sz val="10.5"/>
        <color rgb="FF000000"/>
        <rFont val="Times New Roman"/>
        <charset val="1"/>
      </rPr>
      <t>30</t>
    </r>
    <r>
      <rPr>
        <sz val="11"/>
        <color rgb="FF000000"/>
        <rFont val="宋体"/>
        <charset val="134"/>
      </rPr>
      <t>时</t>
    </r>
    <r>
      <rPr>
        <sz val="11"/>
        <color rgb="FF000000"/>
        <rFont val="Times New Roman"/>
        <charset val="1"/>
      </rPr>
      <t>28</t>
    </r>
    <r>
      <rPr>
        <sz val="11"/>
        <color rgb="FF000000"/>
        <rFont val="宋体"/>
        <charset val="134"/>
      </rPr>
      <t>分</t>
    </r>
  </si>
  <si>
    <r>
      <rPr>
        <sz val="10.5"/>
        <color rgb="FF000000"/>
        <rFont val="Times New Roman"/>
        <charset val="1"/>
      </rPr>
      <t>05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022</t>
    </r>
    <r>
      <rPr>
        <sz val="11"/>
        <color rgb="FF000000"/>
        <rFont val="宋体"/>
        <charset val="134"/>
      </rPr>
      <t>中铺</t>
    </r>
  </si>
  <si>
    <r>
      <rPr>
        <sz val="10.5"/>
        <color rgb="FF000000"/>
        <rFont val="Times New Roman"/>
        <charset val="1"/>
      </rPr>
      <t>2019</t>
    </r>
    <r>
      <rPr>
        <sz val="10.5"/>
        <color rgb="FF000000"/>
        <rFont val="宋体"/>
        <charset val="134"/>
      </rPr>
      <t>实践团去程</t>
    </r>
  </si>
  <si>
    <t>13:00-17:39</t>
  </si>
  <si>
    <t>G32</t>
  </si>
  <si>
    <t>杭州</t>
  </si>
  <si>
    <r>
      <rPr>
        <sz val="10.5"/>
        <color rgb="FF000000"/>
        <rFont val="Times New Roman"/>
        <charset val="1"/>
      </rPr>
      <t>19</t>
    </r>
    <r>
      <rPr>
        <sz val="11"/>
        <color rgb="FF000000"/>
        <rFont val="宋体"/>
        <charset val="134"/>
      </rPr>
      <t>夏返校</t>
    </r>
  </si>
  <si>
    <t>11:07-12:00</t>
  </si>
  <si>
    <t>G7540</t>
  </si>
  <si>
    <t>苍南</t>
  </si>
  <si>
    <r>
      <rPr>
        <sz val="10.5"/>
        <color rgb="FF000000"/>
        <rFont val="Times New Roman"/>
        <charset val="1"/>
      </rPr>
      <t>53</t>
    </r>
    <r>
      <rPr>
        <sz val="11"/>
        <color rgb="FF000000"/>
        <rFont val="宋体"/>
        <charset val="134"/>
      </rPr>
      <t>分</t>
    </r>
  </si>
  <si>
    <t>10B</t>
  </si>
  <si>
    <r>
      <rPr>
        <sz val="10.5"/>
        <color rgb="FF000000"/>
        <rFont val="Times New Roman"/>
        <charset val="1"/>
      </rPr>
      <t>05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06F</t>
    </r>
  </si>
  <si>
    <t>杭州中转</t>
  </si>
  <si>
    <r>
      <rPr>
        <sz val="10.5"/>
        <color rgb="FF000000"/>
        <rFont val="Times New Roman"/>
        <charset val="1"/>
      </rPr>
      <t>04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04F</t>
    </r>
  </si>
  <si>
    <r>
      <rPr>
        <sz val="10.5"/>
        <color rgb="FF000000"/>
        <rFont val="Times New Roman"/>
        <charset val="1"/>
      </rPr>
      <t>19</t>
    </r>
    <r>
      <rPr>
        <sz val="11"/>
        <color rgb="FF000000"/>
        <rFont val="宋体"/>
        <charset val="134"/>
      </rPr>
      <t>夏返乡</t>
    </r>
  </si>
  <si>
    <t>14:38-21:29</t>
  </si>
  <si>
    <t>G60</t>
  </si>
  <si>
    <r>
      <rPr>
        <sz val="10.5"/>
        <color rgb="FF000000"/>
        <rFont val="Times New Roman"/>
        <charset val="1"/>
      </rPr>
      <t>13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11F</t>
    </r>
  </si>
  <si>
    <r>
      <rPr>
        <sz val="10.5"/>
        <color rgb="FF000000"/>
        <rFont val="Times New Roman"/>
        <charset val="1"/>
      </rPr>
      <t>19</t>
    </r>
    <r>
      <rPr>
        <sz val="11"/>
        <color rgb="FF000000"/>
        <rFont val="宋体"/>
        <charset val="134"/>
      </rPr>
      <t>春返校</t>
    </r>
  </si>
  <si>
    <r>
      <rPr>
        <sz val="10.5"/>
        <color rgb="FF000000"/>
        <rFont val="Times New Roman"/>
        <charset val="1"/>
      </rPr>
      <t>07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10F</t>
    </r>
  </si>
  <si>
    <r>
      <rPr>
        <sz val="10.5"/>
        <color rgb="FF000000"/>
        <rFont val="Times New Roman"/>
        <charset val="1"/>
      </rPr>
      <t>18</t>
    </r>
    <r>
      <rPr>
        <sz val="11"/>
        <color rgb="FF000000"/>
        <rFont val="宋体"/>
        <charset val="134"/>
      </rPr>
      <t>冬返乡</t>
    </r>
  </si>
  <si>
    <t>14:06-14:41</t>
  </si>
  <si>
    <t>C2070</t>
  </si>
  <si>
    <r>
      <rPr>
        <sz val="10.5"/>
        <color rgb="FF000000"/>
        <rFont val="Times New Roman"/>
        <charset val="1"/>
      </rPr>
      <t>35</t>
    </r>
    <r>
      <rPr>
        <sz val="11"/>
        <color rgb="FF000000"/>
        <rFont val="宋体"/>
        <charset val="134"/>
      </rPr>
      <t>分</t>
    </r>
  </si>
  <si>
    <r>
      <rPr>
        <sz val="10.5"/>
        <color rgb="FF000000"/>
        <rFont val="Times New Roman"/>
        <charset val="1"/>
      </rPr>
      <t>07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12C</t>
    </r>
  </si>
  <si>
    <r>
      <rPr>
        <sz val="10.5"/>
        <color rgb="FF000000"/>
        <rFont val="Times New Roman"/>
        <charset val="1"/>
      </rPr>
      <t>18</t>
    </r>
    <r>
      <rPr>
        <sz val="11"/>
        <color rgb="FF000000"/>
        <rFont val="宋体"/>
        <charset val="134"/>
      </rPr>
      <t>京津返程</t>
    </r>
  </si>
  <si>
    <t>7:00-12:25(+1)</t>
  </si>
  <si>
    <r>
      <rPr>
        <sz val="11"/>
        <color rgb="FF000000"/>
        <rFont val="宋体"/>
        <charset val="134"/>
      </rPr>
      <t>挑战者</t>
    </r>
    <r>
      <rPr>
        <sz val="11"/>
        <color rgb="FF000000"/>
        <rFont val="Times New Roman"/>
        <charset val="1"/>
      </rPr>
      <t>600</t>
    </r>
  </si>
  <si>
    <r>
      <rPr>
        <sz val="10.5"/>
        <color rgb="FF000000"/>
        <rFont val="Times New Roman"/>
        <charset val="1"/>
      </rPr>
      <t>18</t>
    </r>
    <r>
      <rPr>
        <sz val="10.5"/>
        <color rgb="FF000000"/>
        <rFont val="宋体"/>
        <charset val="134"/>
      </rPr>
      <t>京津</t>
    </r>
  </si>
  <si>
    <t>11:55-18:43</t>
  </si>
  <si>
    <t>G56</t>
  </si>
  <si>
    <r>
      <rPr>
        <sz val="10.5"/>
        <color rgb="FF000000"/>
        <rFont val="Times New Roman"/>
        <charset val="1"/>
      </rPr>
      <t>13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09F</t>
    </r>
  </si>
  <si>
    <r>
      <rPr>
        <sz val="10.5"/>
        <color rgb="FF000000"/>
        <rFont val="Times New Roman"/>
        <charset val="1"/>
      </rPr>
      <t>18</t>
    </r>
    <r>
      <rPr>
        <sz val="11"/>
        <color rgb="FF000000"/>
        <rFont val="宋体"/>
        <charset val="134"/>
      </rPr>
      <t>秋入学</t>
    </r>
  </si>
  <si>
    <t>12:50-19:40</t>
  </si>
  <si>
    <r>
      <rPr>
        <sz val="10.5"/>
        <color rgb="FF000000"/>
        <rFont val="Times New Roman"/>
        <charset val="1"/>
      </rPr>
      <t>12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03D</t>
    </r>
  </si>
  <si>
    <r>
      <rPr>
        <sz val="11"/>
        <color rgb="FF000000"/>
        <rFont val="宋体"/>
        <charset val="134"/>
      </rPr>
      <t>暑校返程，</t>
    </r>
    <r>
      <rPr>
        <sz val="11"/>
        <color rgb="FF000000"/>
        <rFont val="Times New Roman"/>
        <charset val="1"/>
      </rPr>
      <t>ayi</t>
    </r>
    <r>
      <rPr>
        <sz val="11"/>
        <color rgb="FF000000"/>
        <rFont val="宋体"/>
        <charset val="134"/>
      </rPr>
      <t>的座号</t>
    </r>
  </si>
  <si>
    <t>10:33-18:03</t>
  </si>
  <si>
    <t>G168</t>
  </si>
  <si>
    <r>
      <rPr>
        <sz val="10.5"/>
        <color rgb="FF000000"/>
        <rFont val="Times New Roman"/>
        <charset val="1"/>
      </rPr>
      <t>11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12B</t>
    </r>
  </si>
  <si>
    <t>暑校</t>
  </si>
  <si>
    <t>车次资料来源：</t>
  </si>
  <si>
    <t>https://www.chalieche.com/</t>
  </si>
  <si>
    <t>http://www.gaotie.cn/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</si>
</sst>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1" formatCode="_-* #,##0_-;\-* #,##0_-;_-* &quot;-&quot;_-;_-@_-"/>
    <numFmt numFmtId="42" formatCode="_-&quot;£&quot;* #,##0_-;\-&quot;£&quot;* #,##0_-;_-&quot;£&quot;* &quot;-&quot;_-;_-@_-"/>
    <numFmt numFmtId="43" formatCode="_-* #,##0.00_-;\-* #,##0.00_-;_-* &quot;-&quot;??_-;_-@_-"/>
    <numFmt numFmtId="44" formatCode="_-&quot;£&quot;* #,##0.00_-;\-&quot;£&quot;* #,##0.00_-;_-&quot;£&quot;* &quot;-&quot;??_-;_-@_-"/>
    <numFmt numFmtId="176" formatCode="yyyy\-mm\-dd;@"/>
    <numFmt numFmtId="177" formatCode="h&quot;时&quot;mm&quot;分&quot;;@"/>
    <numFmt numFmtId="178" formatCode="0.0\ ;[Red]\(0.0\)"/>
    <numFmt numFmtId="179" formatCode="h:mm"/>
  </numFmts>
  <fonts count="38">
    <font>
      <sz val="11"/>
      <color rgb="FF000000"/>
      <name val="等线"/>
      <charset val="1"/>
    </font>
    <font>
      <b/>
      <sz val="10.5"/>
      <color rgb="FF000000"/>
      <name val="宋体"/>
      <charset val="1"/>
    </font>
    <font>
      <sz val="10.5"/>
      <color rgb="FF000000"/>
      <name val="宋体"/>
      <charset val="1"/>
    </font>
    <font>
      <b/>
      <sz val="11"/>
      <color rgb="FF000000"/>
      <name val="宋体"/>
      <charset val="1"/>
    </font>
    <font>
      <sz val="11"/>
      <color rgb="FF000000"/>
      <name val="宋体"/>
      <charset val="1"/>
    </font>
    <font>
      <sz val="11"/>
      <color rgb="FF000000"/>
      <name val="SimSun"/>
      <charset val="134"/>
    </font>
    <font>
      <sz val="11"/>
      <color rgb="FF000000"/>
      <name val="宋体"/>
      <charset val="134"/>
    </font>
    <font>
      <sz val="10.5"/>
      <color rgb="FF000000"/>
      <name val="宋体"/>
      <charset val="134"/>
    </font>
    <font>
      <sz val="11"/>
      <color rgb="FF000000"/>
      <name val="Times New Roman"/>
      <charset val="1"/>
    </font>
    <font>
      <sz val="10.5"/>
      <color rgb="FF000000"/>
      <name val="Times New Roman"/>
      <charset val="1"/>
    </font>
    <font>
      <u/>
      <sz val="10.5"/>
      <color rgb="FF800080"/>
      <name val="宋体"/>
      <charset val="1"/>
    </font>
    <font>
      <u/>
      <sz val="10.5"/>
      <color rgb="FF0563C1"/>
      <name val="宋体"/>
      <charset val="1"/>
    </font>
    <font>
      <sz val="10"/>
      <name val="Arial"/>
      <charset val="134"/>
    </font>
    <font>
      <u/>
      <sz val="11"/>
      <color rgb="FF0563C1"/>
      <name val="等线"/>
      <charset val="1"/>
    </font>
    <font>
      <u/>
      <sz val="11"/>
      <color rgb="FF800080"/>
      <name val="Calibri"/>
      <charset val="0"/>
      <scheme val="minor"/>
    </font>
    <font>
      <sz val="11"/>
      <color theme="1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000000"/>
      <name val="SimSun"/>
      <charset val="128"/>
    </font>
    <font>
      <sz val="11"/>
      <color rgb="FF000000"/>
      <name val="Microsoft YaHei"/>
      <charset val="128"/>
    </font>
    <font>
      <sz val="11"/>
      <color rgb="FF000000"/>
      <name val="宋体-简"/>
      <charset val="1"/>
    </font>
    <font>
      <sz val="11"/>
      <color rgb="FF000000"/>
      <name val="SimSun"/>
      <charset val="1"/>
    </font>
    <font>
      <sz val="11"/>
      <color rgb="FF000000"/>
      <name val="Times New Roman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12" fillId="0" borderId="0" applyBorder="0" applyAlignment="0" applyProtection="0"/>
    <xf numFmtId="44" fontId="12" fillId="0" borderId="0" applyBorder="0" applyAlignment="0" applyProtection="0"/>
    <xf numFmtId="9" fontId="12" fillId="0" borderId="0" applyBorder="0" applyAlignment="0" applyProtection="0"/>
    <xf numFmtId="41" fontId="12" fillId="0" borderId="0" applyBorder="0" applyAlignment="0" applyProtection="0"/>
    <xf numFmtId="42" fontId="12" fillId="0" borderId="0" applyBorder="0" applyAlignment="0" applyProtection="0"/>
    <xf numFmtId="0" fontId="13" fillId="0" borderId="0" applyBorder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2" borderId="1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2" applyNumberFormat="0" applyFill="0" applyAlignment="0" applyProtection="0">
      <alignment vertical="center"/>
    </xf>
    <xf numFmtId="0" fontId="20" fillId="0" borderId="2" applyNumberFormat="0" applyFill="0" applyAlignment="0" applyProtection="0">
      <alignment vertical="center"/>
    </xf>
    <xf numFmtId="0" fontId="21" fillId="0" borderId="3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3" borderId="4" applyNumberFormat="0" applyAlignment="0" applyProtection="0">
      <alignment vertical="center"/>
    </xf>
    <xf numFmtId="0" fontId="23" fillId="4" borderId="5" applyNumberFormat="0" applyAlignment="0" applyProtection="0">
      <alignment vertical="center"/>
    </xf>
    <xf numFmtId="0" fontId="24" fillId="4" borderId="4" applyNumberFormat="0" applyAlignment="0" applyProtection="0">
      <alignment vertical="center"/>
    </xf>
    <xf numFmtId="0" fontId="25" fillId="5" borderId="6" applyNumberFormat="0" applyAlignment="0" applyProtection="0">
      <alignment vertical="center"/>
    </xf>
    <xf numFmtId="0" fontId="26" fillId="0" borderId="7" applyNumberFormat="0" applyFill="0" applyAlignment="0" applyProtection="0">
      <alignment vertical="center"/>
    </xf>
    <xf numFmtId="0" fontId="27" fillId="0" borderId="8" applyNumberFormat="0" applyFill="0" applyAlignment="0" applyProtection="0">
      <alignment vertical="center"/>
    </xf>
    <xf numFmtId="0" fontId="28" fillId="6" borderId="0" applyNumberFormat="0" applyBorder="0" applyAlignment="0" applyProtection="0">
      <alignment vertical="center"/>
    </xf>
    <xf numFmtId="0" fontId="29" fillId="7" borderId="0" applyNumberFormat="0" applyBorder="0" applyAlignment="0" applyProtection="0">
      <alignment vertical="center"/>
    </xf>
    <xf numFmtId="0" fontId="30" fillId="8" borderId="0" applyNumberFormat="0" applyBorder="0" applyAlignment="0" applyProtection="0">
      <alignment vertical="center"/>
    </xf>
    <xf numFmtId="0" fontId="31" fillId="9" borderId="0" applyNumberFormat="0" applyBorder="0" applyAlignment="0" applyProtection="0">
      <alignment vertical="center"/>
    </xf>
    <xf numFmtId="0" fontId="32" fillId="10" borderId="0" applyNumberFormat="0" applyBorder="0" applyAlignment="0" applyProtection="0">
      <alignment vertical="center"/>
    </xf>
    <xf numFmtId="0" fontId="32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2" fillId="14" borderId="0" applyNumberFormat="0" applyBorder="0" applyAlignment="0" applyProtection="0">
      <alignment vertical="center"/>
    </xf>
    <xf numFmtId="0" fontId="32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2" fillId="18" borderId="0" applyNumberFormat="0" applyBorder="0" applyAlignment="0" applyProtection="0">
      <alignment vertical="center"/>
    </xf>
    <xf numFmtId="0" fontId="32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2" fillId="22" borderId="0" applyNumberFormat="0" applyBorder="0" applyAlignment="0" applyProtection="0">
      <alignment vertical="center"/>
    </xf>
    <xf numFmtId="0" fontId="32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2" fillId="26" borderId="0" applyNumberFormat="0" applyBorder="0" applyAlignment="0" applyProtection="0">
      <alignment vertical="center"/>
    </xf>
    <xf numFmtId="0" fontId="32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2" fillId="30" borderId="0" applyNumberFormat="0" applyBorder="0" applyAlignment="0" applyProtection="0">
      <alignment vertical="center"/>
    </xf>
    <xf numFmtId="0" fontId="32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</cellStyleXfs>
  <cellXfs count="33">
    <xf numFmtId="0" fontId="0" fillId="0" borderId="0" xfId="0">
      <alignment vertical="center"/>
    </xf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176" fontId="2" fillId="0" borderId="0" xfId="0" applyNumberFormat="1" applyFont="1" applyAlignment="1">
      <alignment horizontal="left" vertical="center"/>
    </xf>
    <xf numFmtId="49" fontId="2" fillId="0" borderId="0" xfId="0" applyNumberFormat="1" applyFont="1" applyAlignment="1">
      <alignment horizontal="left" vertical="center"/>
    </xf>
    <xf numFmtId="177" fontId="2" fillId="0" borderId="0" xfId="0" applyNumberFormat="1" applyFont="1" applyAlignment="1">
      <alignment horizontal="left" vertical="center"/>
    </xf>
    <xf numFmtId="178" fontId="2" fillId="0" borderId="0" xfId="0" applyNumberFormat="1" applyFont="1" applyAlignment="1">
      <alignment horizontal="left" vertical="center"/>
    </xf>
    <xf numFmtId="176" fontId="3" fillId="0" borderId="0" xfId="0" applyNumberFormat="1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49" fontId="3" fillId="0" borderId="0" xfId="0" applyNumberFormat="1" applyFont="1" applyAlignment="1">
      <alignment horizontal="left" vertical="center"/>
    </xf>
    <xf numFmtId="176" fontId="4" fillId="0" borderId="0" xfId="0" applyNumberFormat="1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49" fontId="4" fillId="0" borderId="0" xfId="0" applyNumberFormat="1" applyFont="1" applyAlignment="1">
      <alignment horizontal="left" vertical="center"/>
    </xf>
    <xf numFmtId="179" fontId="2" fillId="0" borderId="0" xfId="0" applyNumberFormat="1" applyFont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7" fillId="0" borderId="0" xfId="0" applyFont="1" applyAlignment="1">
      <alignment horizontal="left" vertical="center"/>
    </xf>
    <xf numFmtId="177" fontId="3" fillId="0" borderId="0" xfId="0" applyNumberFormat="1" applyFont="1" applyAlignment="1">
      <alignment horizontal="left" vertical="center"/>
    </xf>
    <xf numFmtId="177" fontId="8" fillId="0" borderId="0" xfId="0" applyNumberFormat="1" applyFont="1" applyAlignment="1">
      <alignment horizontal="left" vertical="center"/>
    </xf>
    <xf numFmtId="177" fontId="4" fillId="0" borderId="0" xfId="0" applyNumberFormat="1" applyFont="1" applyAlignment="1">
      <alignment horizontal="left" vertical="center"/>
    </xf>
    <xf numFmtId="0" fontId="8" fillId="0" borderId="0" xfId="0" applyFont="1" applyAlignment="1">
      <alignment horizontal="left" vertical="center"/>
    </xf>
    <xf numFmtId="177" fontId="9" fillId="0" borderId="0" xfId="0" applyNumberFormat="1" applyFont="1" applyAlignment="1">
      <alignment horizontal="left" vertical="center"/>
    </xf>
    <xf numFmtId="49" fontId="9" fillId="0" borderId="0" xfId="0" applyNumberFormat="1" applyFont="1" applyAlignment="1">
      <alignment horizontal="left" vertical="center"/>
    </xf>
    <xf numFmtId="178" fontId="3" fillId="0" borderId="0" xfId="0" applyNumberFormat="1" applyFont="1" applyAlignment="1">
      <alignment horizontal="left" vertical="center"/>
    </xf>
    <xf numFmtId="178" fontId="4" fillId="0" borderId="0" xfId="0" applyNumberFormat="1" applyFont="1" applyAlignment="1">
      <alignment horizontal="left" vertical="center"/>
    </xf>
    <xf numFmtId="0" fontId="4" fillId="0" borderId="0" xfId="0" applyFont="1" applyAlignment="1">
      <alignment horizontal="left" vertical="center" wrapText="1"/>
    </xf>
    <xf numFmtId="0" fontId="5" fillId="0" borderId="0" xfId="0" applyFont="1" applyAlignment="1">
      <alignment horizontal="left" vertical="center" wrapText="1"/>
    </xf>
    <xf numFmtId="0" fontId="9" fillId="0" borderId="0" xfId="0" applyFont="1" applyAlignment="1">
      <alignment horizontal="left" vertical="center"/>
    </xf>
    <xf numFmtId="0" fontId="4" fillId="0" borderId="0" xfId="0" applyFont="1">
      <alignment vertical="center"/>
    </xf>
    <xf numFmtId="49" fontId="6" fillId="0" borderId="0" xfId="0" applyNumberFormat="1" applyFont="1" applyAlignment="1">
      <alignment horizontal="left" vertical="center"/>
    </xf>
    <xf numFmtId="176" fontId="4" fillId="0" borderId="0" xfId="0" applyNumberFormat="1" applyFont="1" applyBorder="1" applyAlignment="1">
      <alignment horizontal="left" vertical="center"/>
    </xf>
    <xf numFmtId="176" fontId="10" fillId="0" borderId="0" xfId="6" applyNumberFormat="1" applyFont="1" applyBorder="1" applyAlignment="1" applyProtection="1">
      <alignment horizontal="left" vertical="center"/>
    </xf>
    <xf numFmtId="176" fontId="11" fillId="0" borderId="0" xfId="6" applyNumberFormat="1" applyFont="1" applyBorder="1" applyAlignment="1" applyProtection="1">
      <alignment horizontal="left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563C1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://www.gaotie.cn/" TargetMode="External"/><Relationship Id="rId1" Type="http://schemas.openxmlformats.org/officeDocument/2006/relationships/hyperlink" Target="https://www.chalieche.co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MJ185"/>
  <sheetViews>
    <sheetView tabSelected="1" zoomScale="120" zoomScaleNormal="120" workbookViewId="0">
      <selection activeCell="C6" sqref="C6"/>
    </sheetView>
  </sheetViews>
  <sheetFormatPr defaultColWidth="8.83088235294118" defaultRowHeight="16.8"/>
  <cols>
    <col min="1" max="1" width="12.1691176470588" style="3" customWidth="1"/>
    <col min="2" max="2" width="6.66176470588235" style="3" customWidth="1"/>
    <col min="3" max="3" width="10.7647058823529" style="2" customWidth="1"/>
    <col min="4" max="4" width="33" style="4" customWidth="1"/>
    <col min="5" max="5" width="8.66176470588235" style="2" customWidth="1"/>
    <col min="6" max="6" width="11.6397058823529" style="2" customWidth="1"/>
    <col min="7" max="7" width="13.6617647058824" style="2" customWidth="1"/>
    <col min="8" max="8" width="6.66176470588235" style="2" customWidth="1"/>
    <col min="9" max="9" width="15.5" style="2" customWidth="1"/>
    <col min="10" max="10" width="7" style="2" customWidth="1"/>
    <col min="11" max="11" width="9.33088235294118" style="5" customWidth="1"/>
    <col min="12" max="12" width="5.83088235294118" style="4" customWidth="1"/>
    <col min="13" max="13" width="9.66176470588235" style="2" customWidth="1"/>
    <col min="14" max="14" width="7.66176470588235" style="6" customWidth="1"/>
    <col min="15" max="15" width="14" style="2" customWidth="1"/>
    <col min="16" max="16" width="16.4411764705882" style="2" customWidth="1"/>
    <col min="17" max="17" width="23.8897058823529" style="2" customWidth="1"/>
    <col min="18" max="1024" width="8.83088235294118" style="2"/>
  </cols>
  <sheetData>
    <row r="1" s="1" customFormat="1" spans="1:16">
      <c r="A1" s="7" t="s">
        <v>0</v>
      </c>
      <c r="B1" s="7" t="s">
        <v>1</v>
      </c>
      <c r="C1" s="8" t="s">
        <v>2</v>
      </c>
      <c r="D1" s="9" t="s">
        <v>3</v>
      </c>
      <c r="E1" s="8" t="s">
        <v>4</v>
      </c>
      <c r="F1" s="8" t="s">
        <v>5</v>
      </c>
      <c r="G1" s="8" t="s">
        <v>6</v>
      </c>
      <c r="H1" s="8" t="s">
        <v>7</v>
      </c>
      <c r="I1" s="8" t="s">
        <v>8</v>
      </c>
      <c r="J1" s="8" t="s">
        <v>9</v>
      </c>
      <c r="K1" s="17" t="s">
        <v>10</v>
      </c>
      <c r="L1" s="9" t="s">
        <v>11</v>
      </c>
      <c r="M1" s="8" t="s">
        <v>12</v>
      </c>
      <c r="N1" s="23" t="s">
        <v>13</v>
      </c>
      <c r="O1" s="8" t="s">
        <v>14</v>
      </c>
      <c r="P1" s="8" t="s">
        <v>15</v>
      </c>
    </row>
    <row r="2" customFormat="1" ht="17" spans="1:1024">
      <c r="A2" s="10">
        <v>45973</v>
      </c>
      <c r="B2" s="10" t="s">
        <v>16</v>
      </c>
      <c r="C2" s="11" t="s">
        <v>17</v>
      </c>
      <c r="D2" s="12" t="s">
        <v>18</v>
      </c>
      <c r="E2" s="11" t="s">
        <v>19</v>
      </c>
      <c r="F2" s="11" t="s">
        <v>20</v>
      </c>
      <c r="G2" s="11" t="s">
        <v>21</v>
      </c>
      <c r="H2" s="11">
        <v>226</v>
      </c>
      <c r="I2" s="14" t="s">
        <v>22</v>
      </c>
      <c r="J2" s="11">
        <v>226</v>
      </c>
      <c r="K2" s="18">
        <v>0.118055555555556</v>
      </c>
      <c r="L2" s="12" t="s">
        <v>23</v>
      </c>
      <c r="M2" s="11">
        <v>11</v>
      </c>
      <c r="N2" s="24">
        <v>110</v>
      </c>
      <c r="O2" s="11" t="s">
        <v>24</v>
      </c>
      <c r="Q2" s="25" t="s">
        <v>25</v>
      </c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  <c r="EP2" s="2"/>
      <c r="EQ2" s="2"/>
      <c r="ER2" s="2"/>
      <c r="ES2" s="2"/>
      <c r="ET2" s="2"/>
      <c r="EU2" s="2"/>
      <c r="EV2" s="2"/>
      <c r="EW2" s="2"/>
      <c r="EX2" s="2"/>
      <c r="EY2" s="2"/>
      <c r="EZ2" s="2"/>
      <c r="FA2" s="2"/>
      <c r="FB2" s="2"/>
      <c r="FC2" s="2"/>
      <c r="FD2" s="2"/>
      <c r="FE2" s="2"/>
      <c r="FF2" s="2"/>
      <c r="FG2" s="2"/>
      <c r="FH2" s="2"/>
      <c r="FI2" s="2"/>
      <c r="FJ2" s="2"/>
      <c r="FK2" s="2"/>
      <c r="FL2" s="2"/>
      <c r="FM2" s="2"/>
      <c r="FN2" s="2"/>
      <c r="FO2" s="2"/>
      <c r="FP2" s="2"/>
      <c r="FQ2" s="2"/>
      <c r="FR2" s="2"/>
      <c r="FS2" s="2"/>
      <c r="FT2" s="2"/>
      <c r="FU2" s="2"/>
      <c r="FV2" s="2"/>
      <c r="FW2" s="2"/>
      <c r="FX2" s="2"/>
      <c r="FY2" s="2"/>
      <c r="FZ2" s="2"/>
      <c r="GA2" s="2"/>
      <c r="GB2" s="2"/>
      <c r="GC2" s="2"/>
      <c r="GD2" s="2"/>
      <c r="GE2" s="2"/>
      <c r="GF2" s="2"/>
      <c r="GG2" s="2"/>
      <c r="GH2" s="2"/>
      <c r="GI2" s="2"/>
      <c r="GJ2" s="2"/>
      <c r="GK2" s="2"/>
      <c r="GL2" s="2"/>
      <c r="GM2" s="2"/>
      <c r="GN2" s="2"/>
      <c r="GO2" s="2"/>
      <c r="GP2" s="2"/>
      <c r="GQ2" s="2"/>
      <c r="GR2" s="2"/>
      <c r="GS2" s="2"/>
      <c r="GT2" s="2"/>
      <c r="GU2" s="2"/>
      <c r="GV2" s="2"/>
      <c r="GW2" s="2"/>
      <c r="GX2" s="2"/>
      <c r="GY2" s="2"/>
      <c r="GZ2" s="2"/>
      <c r="HA2" s="2"/>
      <c r="HB2" s="2"/>
      <c r="HC2" s="2"/>
      <c r="HD2" s="2"/>
      <c r="HE2" s="2"/>
      <c r="HF2" s="2"/>
      <c r="HG2" s="2"/>
      <c r="HH2" s="2"/>
      <c r="HI2" s="2"/>
      <c r="HJ2" s="2"/>
      <c r="HK2" s="2"/>
      <c r="HL2" s="2"/>
      <c r="HM2" s="2"/>
      <c r="HN2" s="2"/>
      <c r="HO2" s="2"/>
      <c r="HP2" s="2"/>
      <c r="HQ2" s="2"/>
      <c r="HR2" s="2"/>
      <c r="HS2" s="2"/>
      <c r="HT2" s="2"/>
      <c r="HU2" s="2"/>
      <c r="HV2" s="2"/>
      <c r="HW2" s="2"/>
      <c r="HX2" s="2"/>
      <c r="HY2" s="2"/>
      <c r="HZ2" s="2"/>
      <c r="IA2" s="2"/>
      <c r="IB2" s="2"/>
      <c r="IC2" s="2"/>
      <c r="ID2" s="2"/>
      <c r="IE2" s="2"/>
      <c r="IF2" s="2"/>
      <c r="IG2" s="2"/>
      <c r="IH2" s="2"/>
      <c r="II2" s="2"/>
      <c r="IJ2" s="2"/>
      <c r="IK2" s="2"/>
      <c r="IL2" s="2"/>
      <c r="IM2" s="2"/>
      <c r="IN2" s="2"/>
      <c r="IO2" s="2"/>
      <c r="IP2" s="2"/>
      <c r="IQ2" s="2"/>
      <c r="IR2" s="2"/>
      <c r="IS2" s="2"/>
      <c r="IT2" s="2"/>
      <c r="IU2" s="2"/>
      <c r="IV2" s="2"/>
      <c r="IW2" s="2"/>
      <c r="IX2" s="2"/>
      <c r="IY2" s="2"/>
      <c r="IZ2" s="2"/>
      <c r="JA2" s="2"/>
      <c r="JB2" s="2"/>
      <c r="JC2" s="2"/>
      <c r="JD2" s="2"/>
      <c r="JE2" s="2"/>
      <c r="JF2" s="2"/>
      <c r="JG2" s="2"/>
      <c r="JH2" s="2"/>
      <c r="JI2" s="2"/>
      <c r="JJ2" s="2"/>
      <c r="JK2" s="2"/>
      <c r="JL2" s="2"/>
      <c r="JM2" s="2"/>
      <c r="JN2" s="2"/>
      <c r="JO2" s="2"/>
      <c r="JP2" s="2"/>
      <c r="JQ2" s="2"/>
      <c r="JR2" s="2"/>
      <c r="JS2" s="2"/>
      <c r="JT2" s="2"/>
      <c r="JU2" s="2"/>
      <c r="JV2" s="2"/>
      <c r="JW2" s="2"/>
      <c r="JX2" s="2"/>
      <c r="JY2" s="2"/>
      <c r="JZ2" s="2"/>
      <c r="KA2" s="2"/>
      <c r="KB2" s="2"/>
      <c r="KC2" s="2"/>
      <c r="KD2" s="2"/>
      <c r="KE2" s="2"/>
      <c r="KF2" s="2"/>
      <c r="KG2" s="2"/>
      <c r="KH2" s="2"/>
      <c r="KI2" s="2"/>
      <c r="KJ2" s="2"/>
      <c r="KK2" s="2"/>
      <c r="KL2" s="2"/>
      <c r="KM2" s="2"/>
      <c r="KN2" s="2"/>
      <c r="KO2" s="2"/>
      <c r="KP2" s="2"/>
      <c r="KQ2" s="2"/>
      <c r="KR2" s="2"/>
      <c r="KS2" s="2"/>
      <c r="KT2" s="2"/>
      <c r="KU2" s="2"/>
      <c r="KV2" s="2"/>
      <c r="KW2" s="2"/>
      <c r="KX2" s="2"/>
      <c r="KY2" s="2"/>
      <c r="KZ2" s="2"/>
      <c r="LA2" s="2"/>
      <c r="LB2" s="2"/>
      <c r="LC2" s="2"/>
      <c r="LD2" s="2"/>
      <c r="LE2" s="2"/>
      <c r="LF2" s="2"/>
      <c r="LG2" s="2"/>
      <c r="LH2" s="2"/>
      <c r="LI2" s="2"/>
      <c r="LJ2" s="2"/>
      <c r="LK2" s="2"/>
      <c r="LL2" s="2"/>
      <c r="LM2" s="2"/>
      <c r="LN2" s="2"/>
      <c r="LO2" s="2"/>
      <c r="LP2" s="2"/>
      <c r="LQ2" s="2"/>
      <c r="LR2" s="2"/>
      <c r="LS2" s="2"/>
      <c r="LT2" s="2"/>
      <c r="LU2" s="2"/>
      <c r="LV2" s="2"/>
      <c r="LW2" s="2"/>
      <c r="LX2" s="2"/>
      <c r="LY2" s="2"/>
      <c r="LZ2" s="2"/>
      <c r="MA2" s="2"/>
      <c r="MB2" s="2"/>
      <c r="MC2" s="2"/>
      <c r="MD2" s="2"/>
      <c r="ME2" s="2"/>
      <c r="MF2" s="2"/>
      <c r="MG2" s="2"/>
      <c r="MH2" s="2"/>
      <c r="MI2" s="2"/>
      <c r="MJ2" s="2"/>
      <c r="MK2" s="2"/>
      <c r="ML2" s="2"/>
      <c r="MM2" s="2"/>
      <c r="MN2" s="2"/>
      <c r="MO2" s="2"/>
      <c r="MP2" s="2"/>
      <c r="MQ2" s="2"/>
      <c r="MR2" s="2"/>
      <c r="MS2" s="2"/>
      <c r="MT2" s="2"/>
      <c r="MU2" s="2"/>
      <c r="MV2" s="2"/>
      <c r="MW2" s="2"/>
      <c r="MX2" s="2"/>
      <c r="MY2" s="2"/>
      <c r="MZ2" s="2"/>
      <c r="NA2" s="2"/>
      <c r="NB2" s="2"/>
      <c r="NC2" s="2"/>
      <c r="ND2" s="2"/>
      <c r="NE2" s="2"/>
      <c r="NF2" s="2"/>
      <c r="NG2" s="2"/>
      <c r="NH2" s="2"/>
      <c r="NI2" s="2"/>
      <c r="NJ2" s="2"/>
      <c r="NK2" s="2"/>
      <c r="NL2" s="2"/>
      <c r="NM2" s="2"/>
      <c r="NN2" s="2"/>
      <c r="NO2" s="2"/>
      <c r="NP2" s="2"/>
      <c r="NQ2" s="2"/>
      <c r="NR2" s="2"/>
      <c r="NS2" s="2"/>
      <c r="NT2" s="2"/>
      <c r="NU2" s="2"/>
      <c r="NV2" s="2"/>
      <c r="NW2" s="2"/>
      <c r="NX2" s="2"/>
      <c r="NY2" s="2"/>
      <c r="NZ2" s="2"/>
      <c r="OA2" s="2"/>
      <c r="OB2" s="2"/>
      <c r="OC2" s="2"/>
      <c r="OD2" s="2"/>
      <c r="OE2" s="2"/>
      <c r="OF2" s="2"/>
      <c r="OG2" s="2"/>
      <c r="OH2" s="2"/>
      <c r="OI2" s="2"/>
      <c r="OJ2" s="2"/>
      <c r="OK2" s="2"/>
      <c r="OL2" s="2"/>
      <c r="OM2" s="2"/>
      <c r="ON2" s="2"/>
      <c r="OO2" s="2"/>
      <c r="OP2" s="2"/>
      <c r="OQ2" s="2"/>
      <c r="OR2" s="2"/>
      <c r="OS2" s="2"/>
      <c r="OT2" s="2"/>
      <c r="OU2" s="2"/>
      <c r="OV2" s="2"/>
      <c r="OW2" s="2"/>
      <c r="OX2" s="2"/>
      <c r="OY2" s="2"/>
      <c r="OZ2" s="2"/>
      <c r="PA2" s="2"/>
      <c r="PB2" s="2"/>
      <c r="PC2" s="2"/>
      <c r="PD2" s="2"/>
      <c r="PE2" s="2"/>
      <c r="PF2" s="2"/>
      <c r="PG2" s="2"/>
      <c r="PH2" s="2"/>
      <c r="PI2" s="2"/>
      <c r="PJ2" s="2"/>
      <c r="PK2" s="2"/>
      <c r="PL2" s="2"/>
      <c r="PM2" s="2"/>
      <c r="PN2" s="2"/>
      <c r="PO2" s="2"/>
      <c r="PP2" s="2"/>
      <c r="PQ2" s="2"/>
      <c r="PR2" s="2"/>
      <c r="PS2" s="2"/>
      <c r="PT2" s="2"/>
      <c r="PU2" s="2"/>
      <c r="PV2" s="2"/>
      <c r="PW2" s="2"/>
      <c r="PX2" s="2"/>
      <c r="PY2" s="2"/>
      <c r="PZ2" s="2"/>
      <c r="QA2" s="2"/>
      <c r="QB2" s="2"/>
      <c r="QC2" s="2"/>
      <c r="QD2" s="2"/>
      <c r="QE2" s="2"/>
      <c r="QF2" s="2"/>
      <c r="QG2" s="2"/>
      <c r="QH2" s="2"/>
      <c r="QI2" s="2"/>
      <c r="QJ2" s="2"/>
      <c r="QK2" s="2"/>
      <c r="QL2" s="2"/>
      <c r="QM2" s="2"/>
      <c r="QN2" s="2"/>
      <c r="QO2" s="2"/>
      <c r="QP2" s="2"/>
      <c r="QQ2" s="2"/>
      <c r="QR2" s="2"/>
      <c r="QS2" s="2"/>
      <c r="QT2" s="2"/>
      <c r="QU2" s="2"/>
      <c r="QV2" s="2"/>
      <c r="QW2" s="2"/>
      <c r="QX2" s="2"/>
      <c r="QY2" s="2"/>
      <c r="QZ2" s="2"/>
      <c r="RA2" s="2"/>
      <c r="RB2" s="2"/>
      <c r="RC2" s="2"/>
      <c r="RD2" s="2"/>
      <c r="RE2" s="2"/>
      <c r="RF2" s="2"/>
      <c r="RG2" s="2"/>
      <c r="RH2" s="2"/>
      <c r="RI2" s="2"/>
      <c r="RJ2" s="2"/>
      <c r="RK2" s="2"/>
      <c r="RL2" s="2"/>
      <c r="RM2" s="2"/>
      <c r="RN2" s="2"/>
      <c r="RO2" s="2"/>
      <c r="RP2" s="2"/>
      <c r="RQ2" s="2"/>
      <c r="RR2" s="2"/>
      <c r="RS2" s="2"/>
      <c r="RT2" s="2"/>
      <c r="RU2" s="2"/>
      <c r="RV2" s="2"/>
      <c r="RW2" s="2"/>
      <c r="RX2" s="2"/>
      <c r="RY2" s="2"/>
      <c r="RZ2" s="2"/>
      <c r="SA2" s="2"/>
      <c r="SB2" s="2"/>
      <c r="SC2" s="2"/>
      <c r="SD2" s="2"/>
      <c r="SE2" s="2"/>
      <c r="SF2" s="2"/>
      <c r="SG2" s="2"/>
      <c r="SH2" s="2"/>
      <c r="SI2" s="2"/>
      <c r="SJ2" s="2"/>
      <c r="SK2" s="2"/>
      <c r="SL2" s="2"/>
      <c r="SM2" s="2"/>
      <c r="SN2" s="2"/>
      <c r="SO2" s="2"/>
      <c r="SP2" s="2"/>
      <c r="SQ2" s="2"/>
      <c r="SR2" s="2"/>
      <c r="SS2" s="2"/>
      <c r="ST2" s="2"/>
      <c r="SU2" s="2"/>
      <c r="SV2" s="2"/>
      <c r="SW2" s="2"/>
      <c r="SX2" s="2"/>
      <c r="SY2" s="2"/>
      <c r="SZ2" s="2"/>
      <c r="TA2" s="2"/>
      <c r="TB2" s="2"/>
      <c r="TC2" s="2"/>
      <c r="TD2" s="2"/>
      <c r="TE2" s="2"/>
      <c r="TF2" s="2"/>
      <c r="TG2" s="2"/>
      <c r="TH2" s="2"/>
      <c r="TI2" s="2"/>
      <c r="TJ2" s="2"/>
      <c r="TK2" s="2"/>
      <c r="TL2" s="2"/>
      <c r="TM2" s="2"/>
      <c r="TN2" s="2"/>
      <c r="TO2" s="2"/>
      <c r="TP2" s="2"/>
      <c r="TQ2" s="2"/>
      <c r="TR2" s="2"/>
      <c r="TS2" s="2"/>
      <c r="TT2" s="2"/>
      <c r="TU2" s="2"/>
      <c r="TV2" s="2"/>
      <c r="TW2" s="2"/>
      <c r="TX2" s="2"/>
      <c r="TY2" s="2"/>
      <c r="TZ2" s="2"/>
      <c r="UA2" s="2"/>
      <c r="UB2" s="2"/>
      <c r="UC2" s="2"/>
      <c r="UD2" s="2"/>
      <c r="UE2" s="2"/>
      <c r="UF2" s="2"/>
      <c r="UG2" s="2"/>
      <c r="UH2" s="2"/>
      <c r="UI2" s="2"/>
      <c r="UJ2" s="2"/>
      <c r="UK2" s="2"/>
      <c r="UL2" s="2"/>
      <c r="UM2" s="2"/>
      <c r="UN2" s="2"/>
      <c r="UO2" s="2"/>
      <c r="UP2" s="2"/>
      <c r="UQ2" s="2"/>
      <c r="UR2" s="2"/>
      <c r="US2" s="2"/>
      <c r="UT2" s="2"/>
      <c r="UU2" s="2"/>
      <c r="UV2" s="2"/>
      <c r="UW2" s="2"/>
      <c r="UX2" s="2"/>
      <c r="UY2" s="2"/>
      <c r="UZ2" s="2"/>
      <c r="VA2" s="2"/>
      <c r="VB2" s="2"/>
      <c r="VC2" s="2"/>
      <c r="VD2" s="2"/>
      <c r="VE2" s="2"/>
      <c r="VF2" s="2"/>
      <c r="VG2" s="2"/>
      <c r="VH2" s="2"/>
      <c r="VI2" s="2"/>
      <c r="VJ2" s="2"/>
      <c r="VK2" s="2"/>
      <c r="VL2" s="2"/>
      <c r="VM2" s="2"/>
      <c r="VN2" s="2"/>
      <c r="VO2" s="2"/>
      <c r="VP2" s="2"/>
      <c r="VQ2" s="2"/>
      <c r="VR2" s="2"/>
      <c r="VS2" s="2"/>
      <c r="VT2" s="2"/>
      <c r="VU2" s="2"/>
      <c r="VV2" s="2"/>
      <c r="VW2" s="2"/>
      <c r="VX2" s="2"/>
      <c r="VY2" s="2"/>
      <c r="VZ2" s="2"/>
      <c r="WA2" s="2"/>
      <c r="WB2" s="2"/>
      <c r="WC2" s="2"/>
      <c r="WD2" s="2"/>
      <c r="WE2" s="2"/>
      <c r="WF2" s="2"/>
      <c r="WG2" s="2"/>
      <c r="WH2" s="2"/>
      <c r="WI2" s="2"/>
      <c r="WJ2" s="2"/>
      <c r="WK2" s="2"/>
      <c r="WL2" s="2"/>
      <c r="WM2" s="2"/>
      <c r="WN2" s="2"/>
      <c r="WO2" s="2"/>
      <c r="WP2" s="2"/>
      <c r="WQ2" s="2"/>
      <c r="WR2" s="2"/>
      <c r="WS2" s="2"/>
      <c r="WT2" s="2"/>
      <c r="WU2" s="2"/>
      <c r="WV2" s="2"/>
      <c r="WW2" s="2"/>
      <c r="WX2" s="2"/>
      <c r="WY2" s="2"/>
      <c r="WZ2" s="2"/>
      <c r="XA2" s="2"/>
      <c r="XB2" s="2"/>
      <c r="XC2" s="2"/>
      <c r="XD2" s="2"/>
      <c r="XE2" s="2"/>
      <c r="XF2" s="2"/>
      <c r="XG2" s="2"/>
      <c r="XH2" s="2"/>
      <c r="XI2" s="2"/>
      <c r="XJ2" s="2"/>
      <c r="XK2" s="2"/>
      <c r="XL2" s="2"/>
      <c r="XM2" s="2"/>
      <c r="XN2" s="2"/>
      <c r="XO2" s="2"/>
      <c r="XP2" s="2"/>
      <c r="XQ2" s="2"/>
      <c r="XR2" s="2"/>
      <c r="XS2" s="2"/>
      <c r="XT2" s="2"/>
      <c r="XU2" s="2"/>
      <c r="XV2" s="2"/>
      <c r="XW2" s="2"/>
      <c r="XX2" s="2"/>
      <c r="XY2" s="2"/>
      <c r="XZ2" s="2"/>
      <c r="YA2" s="2"/>
      <c r="YB2" s="2"/>
      <c r="YC2" s="2"/>
      <c r="YD2" s="2"/>
      <c r="YE2" s="2"/>
      <c r="YF2" s="2"/>
      <c r="YG2" s="2"/>
      <c r="YH2" s="2"/>
      <c r="YI2" s="2"/>
      <c r="YJ2" s="2"/>
      <c r="YK2" s="2"/>
      <c r="YL2" s="2"/>
      <c r="YM2" s="2"/>
      <c r="YN2" s="2"/>
      <c r="YO2" s="2"/>
      <c r="YP2" s="2"/>
      <c r="YQ2" s="2"/>
      <c r="YR2" s="2"/>
      <c r="YS2" s="2"/>
      <c r="YT2" s="2"/>
      <c r="YU2" s="2"/>
      <c r="YV2" s="2"/>
      <c r="YW2" s="2"/>
      <c r="YX2" s="2"/>
      <c r="YY2" s="2"/>
      <c r="YZ2" s="2"/>
      <c r="ZA2" s="2"/>
      <c r="ZB2" s="2"/>
      <c r="ZC2" s="2"/>
      <c r="ZD2" s="2"/>
      <c r="ZE2" s="2"/>
      <c r="ZF2" s="2"/>
      <c r="ZG2" s="2"/>
      <c r="ZH2" s="2"/>
      <c r="ZI2" s="2"/>
      <c r="ZJ2" s="2"/>
      <c r="ZK2" s="2"/>
      <c r="ZL2" s="2"/>
      <c r="ZM2" s="2"/>
      <c r="ZN2" s="2"/>
      <c r="ZO2" s="2"/>
      <c r="ZP2" s="2"/>
      <c r="ZQ2" s="2"/>
      <c r="ZR2" s="2"/>
      <c r="ZS2" s="2"/>
      <c r="ZT2" s="2"/>
      <c r="ZU2" s="2"/>
      <c r="ZV2" s="2"/>
      <c r="ZW2" s="2"/>
      <c r="ZX2" s="2"/>
      <c r="ZY2" s="2"/>
      <c r="ZZ2" s="2"/>
      <c r="AAA2" s="2"/>
      <c r="AAB2" s="2"/>
      <c r="AAC2" s="2"/>
      <c r="AAD2" s="2"/>
      <c r="AAE2" s="2"/>
      <c r="AAF2" s="2"/>
      <c r="AAG2" s="2"/>
      <c r="AAH2" s="2"/>
      <c r="AAI2" s="2"/>
      <c r="AAJ2" s="2"/>
      <c r="AAK2" s="2"/>
      <c r="AAL2" s="2"/>
      <c r="AAM2" s="2"/>
      <c r="AAN2" s="2"/>
      <c r="AAO2" s="2"/>
      <c r="AAP2" s="2"/>
      <c r="AAQ2" s="2"/>
      <c r="AAR2" s="2"/>
      <c r="AAS2" s="2"/>
      <c r="AAT2" s="2"/>
      <c r="AAU2" s="2"/>
      <c r="AAV2" s="2"/>
      <c r="AAW2" s="2"/>
      <c r="AAX2" s="2"/>
      <c r="AAY2" s="2"/>
      <c r="AAZ2" s="2"/>
      <c r="ABA2" s="2"/>
      <c r="ABB2" s="2"/>
      <c r="ABC2" s="2"/>
      <c r="ABD2" s="2"/>
      <c r="ABE2" s="2"/>
      <c r="ABF2" s="2"/>
      <c r="ABG2" s="2"/>
      <c r="ABH2" s="2"/>
      <c r="ABI2" s="2"/>
      <c r="ABJ2" s="2"/>
      <c r="ABK2" s="2"/>
      <c r="ABL2" s="2"/>
      <c r="ABM2" s="2"/>
      <c r="ABN2" s="2"/>
      <c r="ABO2" s="2"/>
      <c r="ABP2" s="2"/>
      <c r="ABQ2" s="2"/>
      <c r="ABR2" s="2"/>
      <c r="ABS2" s="2"/>
      <c r="ABT2" s="2"/>
      <c r="ABU2" s="2"/>
      <c r="ABV2" s="2"/>
      <c r="ABW2" s="2"/>
      <c r="ABX2" s="2"/>
      <c r="ABY2" s="2"/>
      <c r="ABZ2" s="2"/>
      <c r="ACA2" s="2"/>
      <c r="ACB2" s="2"/>
      <c r="ACC2" s="2"/>
      <c r="ACD2" s="2"/>
      <c r="ACE2" s="2"/>
      <c r="ACF2" s="2"/>
      <c r="ACG2" s="2"/>
      <c r="ACH2" s="2"/>
      <c r="ACI2" s="2"/>
      <c r="ACJ2" s="2"/>
      <c r="ACK2" s="2"/>
      <c r="ACL2" s="2"/>
      <c r="ACM2" s="2"/>
      <c r="ACN2" s="2"/>
      <c r="ACO2" s="2"/>
      <c r="ACP2" s="2"/>
      <c r="ACQ2" s="2"/>
      <c r="ACR2" s="2"/>
      <c r="ACS2" s="2"/>
      <c r="ACT2" s="2"/>
      <c r="ACU2" s="2"/>
      <c r="ACV2" s="2"/>
      <c r="ACW2" s="2"/>
      <c r="ACX2" s="2"/>
      <c r="ACY2" s="2"/>
      <c r="ACZ2" s="2"/>
      <c r="ADA2" s="2"/>
      <c r="ADB2" s="2"/>
      <c r="ADC2" s="2"/>
      <c r="ADD2" s="2"/>
      <c r="ADE2" s="2"/>
      <c r="ADF2" s="2"/>
      <c r="ADG2" s="2"/>
      <c r="ADH2" s="2"/>
      <c r="ADI2" s="2"/>
      <c r="ADJ2" s="2"/>
      <c r="ADK2" s="2"/>
      <c r="ADL2" s="2"/>
      <c r="ADM2" s="2"/>
      <c r="ADN2" s="2"/>
      <c r="ADO2" s="2"/>
      <c r="ADP2" s="2"/>
      <c r="ADQ2" s="2"/>
      <c r="ADR2" s="2"/>
      <c r="ADS2" s="2"/>
      <c r="ADT2" s="2"/>
      <c r="ADU2" s="2"/>
      <c r="ADV2" s="2"/>
      <c r="ADW2" s="2"/>
      <c r="ADX2" s="2"/>
      <c r="ADY2" s="2"/>
      <c r="ADZ2" s="2"/>
      <c r="AEA2" s="2"/>
      <c r="AEB2" s="2"/>
      <c r="AEC2" s="2"/>
      <c r="AED2" s="2"/>
      <c r="AEE2" s="2"/>
      <c r="AEF2" s="2"/>
      <c r="AEG2" s="2"/>
      <c r="AEH2" s="2"/>
      <c r="AEI2" s="2"/>
      <c r="AEJ2" s="2"/>
      <c r="AEK2" s="2"/>
      <c r="AEL2" s="2"/>
      <c r="AEM2" s="2"/>
      <c r="AEN2" s="2"/>
      <c r="AEO2" s="2"/>
      <c r="AEP2" s="2"/>
      <c r="AEQ2" s="2"/>
      <c r="AER2" s="2"/>
      <c r="AES2" s="2"/>
      <c r="AET2" s="2"/>
      <c r="AEU2" s="2"/>
      <c r="AEV2" s="2"/>
      <c r="AEW2" s="2"/>
      <c r="AEX2" s="2"/>
      <c r="AEY2" s="2"/>
      <c r="AEZ2" s="2"/>
      <c r="AFA2" s="2"/>
      <c r="AFB2" s="2"/>
      <c r="AFC2" s="2"/>
      <c r="AFD2" s="2"/>
      <c r="AFE2" s="2"/>
      <c r="AFF2" s="2"/>
      <c r="AFG2" s="2"/>
      <c r="AFH2" s="2"/>
      <c r="AFI2" s="2"/>
      <c r="AFJ2" s="2"/>
      <c r="AFK2" s="2"/>
      <c r="AFL2" s="2"/>
      <c r="AFM2" s="2"/>
      <c r="AFN2" s="2"/>
      <c r="AFO2" s="2"/>
      <c r="AFP2" s="2"/>
      <c r="AFQ2" s="2"/>
      <c r="AFR2" s="2"/>
      <c r="AFS2" s="2"/>
      <c r="AFT2" s="2"/>
      <c r="AFU2" s="2"/>
      <c r="AFV2" s="2"/>
      <c r="AFW2" s="2"/>
      <c r="AFX2" s="2"/>
      <c r="AFY2" s="2"/>
      <c r="AFZ2" s="2"/>
      <c r="AGA2" s="2"/>
      <c r="AGB2" s="2"/>
      <c r="AGC2" s="2"/>
      <c r="AGD2" s="2"/>
      <c r="AGE2" s="2"/>
      <c r="AGF2" s="2"/>
      <c r="AGG2" s="2"/>
      <c r="AGH2" s="2"/>
      <c r="AGI2" s="2"/>
      <c r="AGJ2" s="2"/>
      <c r="AGK2" s="2"/>
      <c r="AGL2" s="2"/>
      <c r="AGM2" s="2"/>
      <c r="AGN2" s="2"/>
      <c r="AGO2" s="2"/>
      <c r="AGP2" s="2"/>
      <c r="AGQ2" s="2"/>
      <c r="AGR2" s="2"/>
      <c r="AGS2" s="2"/>
      <c r="AGT2" s="2"/>
      <c r="AGU2" s="2"/>
      <c r="AGV2" s="2"/>
      <c r="AGW2" s="2"/>
      <c r="AGX2" s="2"/>
      <c r="AGY2" s="2"/>
      <c r="AGZ2" s="2"/>
      <c r="AHA2" s="2"/>
      <c r="AHB2" s="2"/>
      <c r="AHC2" s="2"/>
      <c r="AHD2" s="2"/>
      <c r="AHE2" s="2"/>
      <c r="AHF2" s="2"/>
      <c r="AHG2" s="2"/>
      <c r="AHH2" s="2"/>
      <c r="AHI2" s="2"/>
      <c r="AHJ2" s="2"/>
      <c r="AHK2" s="2"/>
      <c r="AHL2" s="2"/>
      <c r="AHM2" s="2"/>
      <c r="AHN2" s="2"/>
      <c r="AHO2" s="2"/>
      <c r="AHP2" s="2"/>
      <c r="AHQ2" s="2"/>
      <c r="AHR2" s="2"/>
      <c r="AHS2" s="2"/>
      <c r="AHT2" s="2"/>
      <c r="AHU2" s="2"/>
      <c r="AHV2" s="2"/>
      <c r="AHW2" s="2"/>
      <c r="AHX2" s="2"/>
      <c r="AHY2" s="2"/>
      <c r="AHZ2" s="2"/>
      <c r="AIA2" s="2"/>
      <c r="AIB2" s="2"/>
      <c r="AIC2" s="2"/>
      <c r="AID2" s="2"/>
      <c r="AIE2" s="2"/>
      <c r="AIF2" s="2"/>
      <c r="AIG2" s="2"/>
      <c r="AIH2" s="2"/>
      <c r="AII2" s="2"/>
      <c r="AIJ2" s="2"/>
      <c r="AIK2" s="2"/>
      <c r="AIL2" s="2"/>
      <c r="AIM2" s="2"/>
      <c r="AIN2" s="2"/>
      <c r="AIO2" s="2"/>
      <c r="AIP2" s="2"/>
      <c r="AIQ2" s="2"/>
      <c r="AIR2" s="2"/>
      <c r="AIS2" s="2"/>
      <c r="AIT2" s="2"/>
      <c r="AIU2" s="2"/>
      <c r="AIV2" s="2"/>
      <c r="AIW2" s="2"/>
      <c r="AIX2" s="2"/>
      <c r="AIY2" s="2"/>
      <c r="AIZ2" s="2"/>
      <c r="AJA2" s="2"/>
      <c r="AJB2" s="2"/>
      <c r="AJC2" s="2"/>
      <c r="AJD2" s="2"/>
      <c r="AJE2" s="2"/>
      <c r="AJF2" s="2"/>
      <c r="AJG2" s="2"/>
      <c r="AJH2" s="2"/>
      <c r="AJI2" s="2"/>
      <c r="AJJ2" s="2"/>
      <c r="AJK2" s="2"/>
      <c r="AJL2" s="2"/>
      <c r="AJM2" s="2"/>
      <c r="AJN2" s="2"/>
      <c r="AJO2" s="2"/>
      <c r="AJP2" s="2"/>
      <c r="AJQ2" s="2"/>
      <c r="AJR2" s="2"/>
      <c r="AJS2" s="2"/>
      <c r="AJT2" s="2"/>
      <c r="AJU2" s="2"/>
      <c r="AJV2" s="2"/>
      <c r="AJW2" s="2"/>
      <c r="AJX2" s="2"/>
      <c r="AJY2" s="2"/>
      <c r="AJZ2" s="2"/>
      <c r="AKA2" s="2"/>
      <c r="AKB2" s="2"/>
      <c r="AKC2" s="2"/>
      <c r="AKD2" s="2"/>
      <c r="AKE2" s="2"/>
      <c r="AKF2" s="2"/>
      <c r="AKG2" s="2"/>
      <c r="AKH2" s="2"/>
      <c r="AKI2" s="2"/>
      <c r="AKJ2" s="2"/>
      <c r="AKK2" s="2"/>
      <c r="AKL2" s="2"/>
      <c r="AKM2" s="2"/>
      <c r="AKN2" s="2"/>
      <c r="AKO2" s="2"/>
      <c r="AKP2" s="2"/>
      <c r="AKQ2" s="2"/>
      <c r="AKR2" s="2"/>
      <c r="AKS2" s="2"/>
      <c r="AKT2" s="2"/>
      <c r="AKU2" s="2"/>
      <c r="AKV2" s="2"/>
      <c r="AKW2" s="2"/>
      <c r="AKX2" s="2"/>
      <c r="AKY2" s="2"/>
      <c r="AKZ2" s="2"/>
      <c r="ALA2" s="2"/>
      <c r="ALB2" s="2"/>
      <c r="ALC2" s="2"/>
      <c r="ALD2" s="2"/>
      <c r="ALE2" s="2"/>
      <c r="ALF2" s="2"/>
      <c r="ALG2" s="2"/>
      <c r="ALH2" s="2"/>
      <c r="ALI2" s="2"/>
      <c r="ALJ2" s="2"/>
      <c r="ALK2" s="2"/>
      <c r="ALL2" s="2"/>
      <c r="ALM2" s="2"/>
      <c r="ALN2" s="2"/>
      <c r="ALO2" s="2"/>
      <c r="ALP2" s="2"/>
      <c r="ALQ2" s="2"/>
      <c r="ALR2" s="2"/>
      <c r="ALS2" s="2"/>
      <c r="ALT2" s="2"/>
      <c r="ALU2" s="2"/>
      <c r="ALV2" s="2"/>
      <c r="ALW2" s="2"/>
      <c r="ALX2" s="2"/>
      <c r="ALY2" s="2"/>
      <c r="ALZ2" s="2"/>
      <c r="AMA2" s="2"/>
      <c r="AMB2" s="2"/>
      <c r="AMC2" s="2"/>
      <c r="AMD2" s="2"/>
      <c r="AME2" s="2"/>
      <c r="AMF2" s="2"/>
      <c r="AMG2" s="2"/>
      <c r="AMH2" s="2"/>
      <c r="AMI2" s="2"/>
      <c r="AMJ2" s="2"/>
    </row>
    <row r="3" customFormat="1" spans="1:1024">
      <c r="A3" s="10">
        <v>45973</v>
      </c>
      <c r="B3" s="10" t="s">
        <v>16</v>
      </c>
      <c r="C3" s="11" t="s">
        <v>26</v>
      </c>
      <c r="D3" s="12" t="s">
        <v>27</v>
      </c>
      <c r="E3" s="11" t="s">
        <v>20</v>
      </c>
      <c r="F3" s="11" t="s">
        <v>19</v>
      </c>
      <c r="G3" s="11" t="s">
        <v>21</v>
      </c>
      <c r="H3" s="11">
        <v>226</v>
      </c>
      <c r="I3" s="14" t="s">
        <v>28</v>
      </c>
      <c r="J3" s="11">
        <v>226</v>
      </c>
      <c r="K3" s="18">
        <v>0.145833333333333</v>
      </c>
      <c r="L3" s="12" t="s">
        <v>29</v>
      </c>
      <c r="M3" s="11">
        <v>4</v>
      </c>
      <c r="N3" s="24">
        <v>110</v>
      </c>
      <c r="O3" s="11" t="s">
        <v>30</v>
      </c>
      <c r="P3" s="11" t="s">
        <v>31</v>
      </c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  <c r="CF3" s="2"/>
      <c r="CG3" s="2"/>
      <c r="CH3" s="2"/>
      <c r="CI3" s="2"/>
      <c r="CJ3" s="2"/>
      <c r="CK3" s="2"/>
      <c r="CL3" s="2"/>
      <c r="CM3" s="2"/>
      <c r="CN3" s="2"/>
      <c r="CO3" s="2"/>
      <c r="CP3" s="2"/>
      <c r="CQ3" s="2"/>
      <c r="CR3" s="2"/>
      <c r="CS3" s="2"/>
      <c r="CT3" s="2"/>
      <c r="CU3" s="2"/>
      <c r="CV3" s="2"/>
      <c r="CW3" s="2"/>
      <c r="CX3" s="2"/>
      <c r="CY3" s="2"/>
      <c r="CZ3" s="2"/>
      <c r="DA3" s="2"/>
      <c r="DB3" s="2"/>
      <c r="DC3" s="2"/>
      <c r="DD3" s="2"/>
      <c r="DE3" s="2"/>
      <c r="DF3" s="2"/>
      <c r="DG3" s="2"/>
      <c r="DH3" s="2"/>
      <c r="DI3" s="2"/>
      <c r="DJ3" s="2"/>
      <c r="DK3" s="2"/>
      <c r="DL3" s="2"/>
      <c r="DM3" s="2"/>
      <c r="DN3" s="2"/>
      <c r="DO3" s="2"/>
      <c r="DP3" s="2"/>
      <c r="DQ3" s="2"/>
      <c r="DR3" s="2"/>
      <c r="DS3" s="2"/>
      <c r="DT3" s="2"/>
      <c r="DU3" s="2"/>
      <c r="DV3" s="2"/>
      <c r="DW3" s="2"/>
      <c r="DX3" s="2"/>
      <c r="DY3" s="2"/>
      <c r="DZ3" s="2"/>
      <c r="EA3" s="2"/>
      <c r="EB3" s="2"/>
      <c r="EC3" s="2"/>
      <c r="ED3" s="2"/>
      <c r="EE3" s="2"/>
      <c r="EF3" s="2"/>
      <c r="EG3" s="2"/>
      <c r="EH3" s="2"/>
      <c r="EI3" s="2"/>
      <c r="EJ3" s="2"/>
      <c r="EK3" s="2"/>
      <c r="EL3" s="2"/>
      <c r="EM3" s="2"/>
      <c r="EN3" s="2"/>
      <c r="EO3" s="2"/>
      <c r="EP3" s="2"/>
      <c r="EQ3" s="2"/>
      <c r="ER3" s="2"/>
      <c r="ES3" s="2"/>
      <c r="ET3" s="2"/>
      <c r="EU3" s="2"/>
      <c r="EV3" s="2"/>
      <c r="EW3" s="2"/>
      <c r="EX3" s="2"/>
      <c r="EY3" s="2"/>
      <c r="EZ3" s="2"/>
      <c r="FA3" s="2"/>
      <c r="FB3" s="2"/>
      <c r="FC3" s="2"/>
      <c r="FD3" s="2"/>
      <c r="FE3" s="2"/>
      <c r="FF3" s="2"/>
      <c r="FG3" s="2"/>
      <c r="FH3" s="2"/>
      <c r="FI3" s="2"/>
      <c r="FJ3" s="2"/>
      <c r="FK3" s="2"/>
      <c r="FL3" s="2"/>
      <c r="FM3" s="2"/>
      <c r="FN3" s="2"/>
      <c r="FO3" s="2"/>
      <c r="FP3" s="2"/>
      <c r="FQ3" s="2"/>
      <c r="FR3" s="2"/>
      <c r="FS3" s="2"/>
      <c r="FT3" s="2"/>
      <c r="FU3" s="2"/>
      <c r="FV3" s="2"/>
      <c r="FW3" s="2"/>
      <c r="FX3" s="2"/>
      <c r="FY3" s="2"/>
      <c r="FZ3" s="2"/>
      <c r="GA3" s="2"/>
      <c r="GB3" s="2"/>
      <c r="GC3" s="2"/>
      <c r="GD3" s="2"/>
      <c r="GE3" s="2"/>
      <c r="GF3" s="2"/>
      <c r="GG3" s="2"/>
      <c r="GH3" s="2"/>
      <c r="GI3" s="2"/>
      <c r="GJ3" s="2"/>
      <c r="GK3" s="2"/>
      <c r="GL3" s="2"/>
      <c r="GM3" s="2"/>
      <c r="GN3" s="2"/>
      <c r="GO3" s="2"/>
      <c r="GP3" s="2"/>
      <c r="GQ3" s="2"/>
      <c r="GR3" s="2"/>
      <c r="GS3" s="2"/>
      <c r="GT3" s="2"/>
      <c r="GU3" s="2"/>
      <c r="GV3" s="2"/>
      <c r="GW3" s="2"/>
      <c r="GX3" s="2"/>
      <c r="GY3" s="2"/>
      <c r="GZ3" s="2"/>
      <c r="HA3" s="2"/>
      <c r="HB3" s="2"/>
      <c r="HC3" s="2"/>
      <c r="HD3" s="2"/>
      <c r="HE3" s="2"/>
      <c r="HF3" s="2"/>
      <c r="HG3" s="2"/>
      <c r="HH3" s="2"/>
      <c r="HI3" s="2"/>
      <c r="HJ3" s="2"/>
      <c r="HK3" s="2"/>
      <c r="HL3" s="2"/>
      <c r="HM3" s="2"/>
      <c r="HN3" s="2"/>
      <c r="HO3" s="2"/>
      <c r="HP3" s="2"/>
      <c r="HQ3" s="2"/>
      <c r="HR3" s="2"/>
      <c r="HS3" s="2"/>
      <c r="HT3" s="2"/>
      <c r="HU3" s="2"/>
      <c r="HV3" s="2"/>
      <c r="HW3" s="2"/>
      <c r="HX3" s="2"/>
      <c r="HY3" s="2"/>
      <c r="HZ3" s="2"/>
      <c r="IA3" s="2"/>
      <c r="IB3" s="2"/>
      <c r="IC3" s="2"/>
      <c r="ID3" s="2"/>
      <c r="IE3" s="2"/>
      <c r="IF3" s="2"/>
      <c r="IG3" s="2"/>
      <c r="IH3" s="2"/>
      <c r="II3" s="2"/>
      <c r="IJ3" s="2"/>
      <c r="IK3" s="2"/>
      <c r="IL3" s="2"/>
      <c r="IM3" s="2"/>
      <c r="IN3" s="2"/>
      <c r="IO3" s="2"/>
      <c r="IP3" s="2"/>
      <c r="IQ3" s="2"/>
      <c r="IR3" s="2"/>
      <c r="IS3" s="2"/>
      <c r="IT3" s="2"/>
      <c r="IU3" s="2"/>
      <c r="IV3" s="2"/>
      <c r="IW3" s="2"/>
      <c r="IX3" s="2"/>
      <c r="IY3" s="2"/>
      <c r="IZ3" s="2"/>
      <c r="JA3" s="2"/>
      <c r="JB3" s="2"/>
      <c r="JC3" s="2"/>
      <c r="JD3" s="2"/>
      <c r="JE3" s="2"/>
      <c r="JF3" s="2"/>
      <c r="JG3" s="2"/>
      <c r="JH3" s="2"/>
      <c r="JI3" s="2"/>
      <c r="JJ3" s="2"/>
      <c r="JK3" s="2"/>
      <c r="JL3" s="2"/>
      <c r="JM3" s="2"/>
      <c r="JN3" s="2"/>
      <c r="JO3" s="2"/>
      <c r="JP3" s="2"/>
      <c r="JQ3" s="2"/>
      <c r="JR3" s="2"/>
      <c r="JS3" s="2"/>
      <c r="JT3" s="2"/>
      <c r="JU3" s="2"/>
      <c r="JV3" s="2"/>
      <c r="JW3" s="2"/>
      <c r="JX3" s="2"/>
      <c r="JY3" s="2"/>
      <c r="JZ3" s="2"/>
      <c r="KA3" s="2"/>
      <c r="KB3" s="2"/>
      <c r="KC3" s="2"/>
      <c r="KD3" s="2"/>
      <c r="KE3" s="2"/>
      <c r="KF3" s="2"/>
      <c r="KG3" s="2"/>
      <c r="KH3" s="2"/>
      <c r="KI3" s="2"/>
      <c r="KJ3" s="2"/>
      <c r="KK3" s="2"/>
      <c r="KL3" s="2"/>
      <c r="KM3" s="2"/>
      <c r="KN3" s="2"/>
      <c r="KO3" s="2"/>
      <c r="KP3" s="2"/>
      <c r="KQ3" s="2"/>
      <c r="KR3" s="2"/>
      <c r="KS3" s="2"/>
      <c r="KT3" s="2"/>
      <c r="KU3" s="2"/>
      <c r="KV3" s="2"/>
      <c r="KW3" s="2"/>
      <c r="KX3" s="2"/>
      <c r="KY3" s="2"/>
      <c r="KZ3" s="2"/>
      <c r="LA3" s="2"/>
      <c r="LB3" s="2"/>
      <c r="LC3" s="2"/>
      <c r="LD3" s="2"/>
      <c r="LE3" s="2"/>
      <c r="LF3" s="2"/>
      <c r="LG3" s="2"/>
      <c r="LH3" s="2"/>
      <c r="LI3" s="2"/>
      <c r="LJ3" s="2"/>
      <c r="LK3" s="2"/>
      <c r="LL3" s="2"/>
      <c r="LM3" s="2"/>
      <c r="LN3" s="2"/>
      <c r="LO3" s="2"/>
      <c r="LP3" s="2"/>
      <c r="LQ3" s="2"/>
      <c r="LR3" s="2"/>
      <c r="LS3" s="2"/>
      <c r="LT3" s="2"/>
      <c r="LU3" s="2"/>
      <c r="LV3" s="2"/>
      <c r="LW3" s="2"/>
      <c r="LX3" s="2"/>
      <c r="LY3" s="2"/>
      <c r="LZ3" s="2"/>
      <c r="MA3" s="2"/>
      <c r="MB3" s="2"/>
      <c r="MC3" s="2"/>
      <c r="MD3" s="2"/>
      <c r="ME3" s="2"/>
      <c r="MF3" s="2"/>
      <c r="MG3" s="2"/>
      <c r="MH3" s="2"/>
      <c r="MI3" s="2"/>
      <c r="MJ3" s="2"/>
      <c r="MK3" s="2"/>
      <c r="ML3" s="2"/>
      <c r="MM3" s="2"/>
      <c r="MN3" s="2"/>
      <c r="MO3" s="2"/>
      <c r="MP3" s="2"/>
      <c r="MQ3" s="2"/>
      <c r="MR3" s="2"/>
      <c r="MS3" s="2"/>
      <c r="MT3" s="2"/>
      <c r="MU3" s="2"/>
      <c r="MV3" s="2"/>
      <c r="MW3" s="2"/>
      <c r="MX3" s="2"/>
      <c r="MY3" s="2"/>
      <c r="MZ3" s="2"/>
      <c r="NA3" s="2"/>
      <c r="NB3" s="2"/>
      <c r="NC3" s="2"/>
      <c r="ND3" s="2"/>
      <c r="NE3" s="2"/>
      <c r="NF3" s="2"/>
      <c r="NG3" s="2"/>
      <c r="NH3" s="2"/>
      <c r="NI3" s="2"/>
      <c r="NJ3" s="2"/>
      <c r="NK3" s="2"/>
      <c r="NL3" s="2"/>
      <c r="NM3" s="2"/>
      <c r="NN3" s="2"/>
      <c r="NO3" s="2"/>
      <c r="NP3" s="2"/>
      <c r="NQ3" s="2"/>
      <c r="NR3" s="2"/>
      <c r="NS3" s="2"/>
      <c r="NT3" s="2"/>
      <c r="NU3" s="2"/>
      <c r="NV3" s="2"/>
      <c r="NW3" s="2"/>
      <c r="NX3" s="2"/>
      <c r="NY3" s="2"/>
      <c r="NZ3" s="2"/>
      <c r="OA3" s="2"/>
      <c r="OB3" s="2"/>
      <c r="OC3" s="2"/>
      <c r="OD3" s="2"/>
      <c r="OE3" s="2"/>
      <c r="OF3" s="2"/>
      <c r="OG3" s="2"/>
      <c r="OH3" s="2"/>
      <c r="OI3" s="2"/>
      <c r="OJ3" s="2"/>
      <c r="OK3" s="2"/>
      <c r="OL3" s="2"/>
      <c r="OM3" s="2"/>
      <c r="ON3" s="2"/>
      <c r="OO3" s="2"/>
      <c r="OP3" s="2"/>
      <c r="OQ3" s="2"/>
      <c r="OR3" s="2"/>
      <c r="OS3" s="2"/>
      <c r="OT3" s="2"/>
      <c r="OU3" s="2"/>
      <c r="OV3" s="2"/>
      <c r="OW3" s="2"/>
      <c r="OX3" s="2"/>
      <c r="OY3" s="2"/>
      <c r="OZ3" s="2"/>
      <c r="PA3" s="2"/>
      <c r="PB3" s="2"/>
      <c r="PC3" s="2"/>
      <c r="PD3" s="2"/>
      <c r="PE3" s="2"/>
      <c r="PF3" s="2"/>
      <c r="PG3" s="2"/>
      <c r="PH3" s="2"/>
      <c r="PI3" s="2"/>
      <c r="PJ3" s="2"/>
      <c r="PK3" s="2"/>
      <c r="PL3" s="2"/>
      <c r="PM3" s="2"/>
      <c r="PN3" s="2"/>
      <c r="PO3" s="2"/>
      <c r="PP3" s="2"/>
      <c r="PQ3" s="2"/>
      <c r="PR3" s="2"/>
      <c r="PS3" s="2"/>
      <c r="PT3" s="2"/>
      <c r="PU3" s="2"/>
      <c r="PV3" s="2"/>
      <c r="PW3" s="2"/>
      <c r="PX3" s="2"/>
      <c r="PY3" s="2"/>
      <c r="PZ3" s="2"/>
      <c r="QA3" s="2"/>
      <c r="QB3" s="2"/>
      <c r="QC3" s="2"/>
      <c r="QD3" s="2"/>
      <c r="QE3" s="2"/>
      <c r="QF3" s="2"/>
      <c r="QG3" s="2"/>
      <c r="QH3" s="2"/>
      <c r="QI3" s="2"/>
      <c r="QJ3" s="2"/>
      <c r="QK3" s="2"/>
      <c r="QL3" s="2"/>
      <c r="QM3" s="2"/>
      <c r="QN3" s="2"/>
      <c r="QO3" s="2"/>
      <c r="QP3" s="2"/>
      <c r="QQ3" s="2"/>
      <c r="QR3" s="2"/>
      <c r="QS3" s="2"/>
      <c r="QT3" s="2"/>
      <c r="QU3" s="2"/>
      <c r="QV3" s="2"/>
      <c r="QW3" s="2"/>
      <c r="QX3" s="2"/>
      <c r="QY3" s="2"/>
      <c r="QZ3" s="2"/>
      <c r="RA3" s="2"/>
      <c r="RB3" s="2"/>
      <c r="RC3" s="2"/>
      <c r="RD3" s="2"/>
      <c r="RE3" s="2"/>
      <c r="RF3" s="2"/>
      <c r="RG3" s="2"/>
      <c r="RH3" s="2"/>
      <c r="RI3" s="2"/>
      <c r="RJ3" s="2"/>
      <c r="RK3" s="2"/>
      <c r="RL3" s="2"/>
      <c r="RM3" s="2"/>
      <c r="RN3" s="2"/>
      <c r="RO3" s="2"/>
      <c r="RP3" s="2"/>
      <c r="RQ3" s="2"/>
      <c r="RR3" s="2"/>
      <c r="RS3" s="2"/>
      <c r="RT3" s="2"/>
      <c r="RU3" s="2"/>
      <c r="RV3" s="2"/>
      <c r="RW3" s="2"/>
      <c r="RX3" s="2"/>
      <c r="RY3" s="2"/>
      <c r="RZ3" s="2"/>
      <c r="SA3" s="2"/>
      <c r="SB3" s="2"/>
      <c r="SC3" s="2"/>
      <c r="SD3" s="2"/>
      <c r="SE3" s="2"/>
      <c r="SF3" s="2"/>
      <c r="SG3" s="2"/>
      <c r="SH3" s="2"/>
      <c r="SI3" s="2"/>
      <c r="SJ3" s="2"/>
      <c r="SK3" s="2"/>
      <c r="SL3" s="2"/>
      <c r="SM3" s="2"/>
      <c r="SN3" s="2"/>
      <c r="SO3" s="2"/>
      <c r="SP3" s="2"/>
      <c r="SQ3" s="2"/>
      <c r="SR3" s="2"/>
      <c r="SS3" s="2"/>
      <c r="ST3" s="2"/>
      <c r="SU3" s="2"/>
      <c r="SV3" s="2"/>
      <c r="SW3" s="2"/>
      <c r="SX3" s="2"/>
      <c r="SY3" s="2"/>
      <c r="SZ3" s="2"/>
      <c r="TA3" s="2"/>
      <c r="TB3" s="2"/>
      <c r="TC3" s="2"/>
      <c r="TD3" s="2"/>
      <c r="TE3" s="2"/>
      <c r="TF3" s="2"/>
      <c r="TG3" s="2"/>
      <c r="TH3" s="2"/>
      <c r="TI3" s="2"/>
      <c r="TJ3" s="2"/>
      <c r="TK3" s="2"/>
      <c r="TL3" s="2"/>
      <c r="TM3" s="2"/>
      <c r="TN3" s="2"/>
      <c r="TO3" s="2"/>
      <c r="TP3" s="2"/>
      <c r="TQ3" s="2"/>
      <c r="TR3" s="2"/>
      <c r="TS3" s="2"/>
      <c r="TT3" s="2"/>
      <c r="TU3" s="2"/>
      <c r="TV3" s="2"/>
      <c r="TW3" s="2"/>
      <c r="TX3" s="2"/>
      <c r="TY3" s="2"/>
      <c r="TZ3" s="2"/>
      <c r="UA3" s="2"/>
      <c r="UB3" s="2"/>
      <c r="UC3" s="2"/>
      <c r="UD3" s="2"/>
      <c r="UE3" s="2"/>
      <c r="UF3" s="2"/>
      <c r="UG3" s="2"/>
      <c r="UH3" s="2"/>
      <c r="UI3" s="2"/>
      <c r="UJ3" s="2"/>
      <c r="UK3" s="2"/>
      <c r="UL3" s="2"/>
      <c r="UM3" s="2"/>
      <c r="UN3" s="2"/>
      <c r="UO3" s="2"/>
      <c r="UP3" s="2"/>
      <c r="UQ3" s="2"/>
      <c r="UR3" s="2"/>
      <c r="US3" s="2"/>
      <c r="UT3" s="2"/>
      <c r="UU3" s="2"/>
      <c r="UV3" s="2"/>
      <c r="UW3" s="2"/>
      <c r="UX3" s="2"/>
      <c r="UY3" s="2"/>
      <c r="UZ3" s="2"/>
      <c r="VA3" s="2"/>
      <c r="VB3" s="2"/>
      <c r="VC3" s="2"/>
      <c r="VD3" s="2"/>
      <c r="VE3" s="2"/>
      <c r="VF3" s="2"/>
      <c r="VG3" s="2"/>
      <c r="VH3" s="2"/>
      <c r="VI3" s="2"/>
      <c r="VJ3" s="2"/>
      <c r="VK3" s="2"/>
      <c r="VL3" s="2"/>
      <c r="VM3" s="2"/>
      <c r="VN3" s="2"/>
      <c r="VO3" s="2"/>
      <c r="VP3" s="2"/>
      <c r="VQ3" s="2"/>
      <c r="VR3" s="2"/>
      <c r="VS3" s="2"/>
      <c r="VT3" s="2"/>
      <c r="VU3" s="2"/>
      <c r="VV3" s="2"/>
      <c r="VW3" s="2"/>
      <c r="VX3" s="2"/>
      <c r="VY3" s="2"/>
      <c r="VZ3" s="2"/>
      <c r="WA3" s="2"/>
      <c r="WB3" s="2"/>
      <c r="WC3" s="2"/>
      <c r="WD3" s="2"/>
      <c r="WE3" s="2"/>
      <c r="WF3" s="2"/>
      <c r="WG3" s="2"/>
      <c r="WH3" s="2"/>
      <c r="WI3" s="2"/>
      <c r="WJ3" s="2"/>
      <c r="WK3" s="2"/>
      <c r="WL3" s="2"/>
      <c r="WM3" s="2"/>
      <c r="WN3" s="2"/>
      <c r="WO3" s="2"/>
      <c r="WP3" s="2"/>
      <c r="WQ3" s="2"/>
      <c r="WR3" s="2"/>
      <c r="WS3" s="2"/>
      <c r="WT3" s="2"/>
      <c r="WU3" s="2"/>
      <c r="WV3" s="2"/>
      <c r="WW3" s="2"/>
      <c r="WX3" s="2"/>
      <c r="WY3" s="2"/>
      <c r="WZ3" s="2"/>
      <c r="XA3" s="2"/>
      <c r="XB3" s="2"/>
      <c r="XC3" s="2"/>
      <c r="XD3" s="2"/>
      <c r="XE3" s="2"/>
      <c r="XF3" s="2"/>
      <c r="XG3" s="2"/>
      <c r="XH3" s="2"/>
      <c r="XI3" s="2"/>
      <c r="XJ3" s="2"/>
      <c r="XK3" s="2"/>
      <c r="XL3" s="2"/>
      <c r="XM3" s="2"/>
      <c r="XN3" s="2"/>
      <c r="XO3" s="2"/>
      <c r="XP3" s="2"/>
      <c r="XQ3" s="2"/>
      <c r="XR3" s="2"/>
      <c r="XS3" s="2"/>
      <c r="XT3" s="2"/>
      <c r="XU3" s="2"/>
      <c r="XV3" s="2"/>
      <c r="XW3" s="2"/>
      <c r="XX3" s="2"/>
      <c r="XY3" s="2"/>
      <c r="XZ3" s="2"/>
      <c r="YA3" s="2"/>
      <c r="YB3" s="2"/>
      <c r="YC3" s="2"/>
      <c r="YD3" s="2"/>
      <c r="YE3" s="2"/>
      <c r="YF3" s="2"/>
      <c r="YG3" s="2"/>
      <c r="YH3" s="2"/>
      <c r="YI3" s="2"/>
      <c r="YJ3" s="2"/>
      <c r="YK3" s="2"/>
      <c r="YL3" s="2"/>
      <c r="YM3" s="2"/>
      <c r="YN3" s="2"/>
      <c r="YO3" s="2"/>
      <c r="YP3" s="2"/>
      <c r="YQ3" s="2"/>
      <c r="YR3" s="2"/>
      <c r="YS3" s="2"/>
      <c r="YT3" s="2"/>
      <c r="YU3" s="2"/>
      <c r="YV3" s="2"/>
      <c r="YW3" s="2"/>
      <c r="YX3" s="2"/>
      <c r="YY3" s="2"/>
      <c r="YZ3" s="2"/>
      <c r="ZA3" s="2"/>
      <c r="ZB3" s="2"/>
      <c r="ZC3" s="2"/>
      <c r="ZD3" s="2"/>
      <c r="ZE3" s="2"/>
      <c r="ZF3" s="2"/>
      <c r="ZG3" s="2"/>
      <c r="ZH3" s="2"/>
      <c r="ZI3" s="2"/>
      <c r="ZJ3" s="2"/>
      <c r="ZK3" s="2"/>
      <c r="ZL3" s="2"/>
      <c r="ZM3" s="2"/>
      <c r="ZN3" s="2"/>
      <c r="ZO3" s="2"/>
      <c r="ZP3" s="2"/>
      <c r="ZQ3" s="2"/>
      <c r="ZR3" s="2"/>
      <c r="ZS3" s="2"/>
      <c r="ZT3" s="2"/>
      <c r="ZU3" s="2"/>
      <c r="ZV3" s="2"/>
      <c r="ZW3" s="2"/>
      <c r="ZX3" s="2"/>
      <c r="ZY3" s="2"/>
      <c r="ZZ3" s="2"/>
      <c r="AAA3" s="2"/>
      <c r="AAB3" s="2"/>
      <c r="AAC3" s="2"/>
      <c r="AAD3" s="2"/>
      <c r="AAE3" s="2"/>
      <c r="AAF3" s="2"/>
      <c r="AAG3" s="2"/>
      <c r="AAH3" s="2"/>
      <c r="AAI3" s="2"/>
      <c r="AAJ3" s="2"/>
      <c r="AAK3" s="2"/>
      <c r="AAL3" s="2"/>
      <c r="AAM3" s="2"/>
      <c r="AAN3" s="2"/>
      <c r="AAO3" s="2"/>
      <c r="AAP3" s="2"/>
      <c r="AAQ3" s="2"/>
      <c r="AAR3" s="2"/>
      <c r="AAS3" s="2"/>
      <c r="AAT3" s="2"/>
      <c r="AAU3" s="2"/>
      <c r="AAV3" s="2"/>
      <c r="AAW3" s="2"/>
      <c r="AAX3" s="2"/>
      <c r="AAY3" s="2"/>
      <c r="AAZ3" s="2"/>
      <c r="ABA3" s="2"/>
      <c r="ABB3" s="2"/>
      <c r="ABC3" s="2"/>
      <c r="ABD3" s="2"/>
      <c r="ABE3" s="2"/>
      <c r="ABF3" s="2"/>
      <c r="ABG3" s="2"/>
      <c r="ABH3" s="2"/>
      <c r="ABI3" s="2"/>
      <c r="ABJ3" s="2"/>
      <c r="ABK3" s="2"/>
      <c r="ABL3" s="2"/>
      <c r="ABM3" s="2"/>
      <c r="ABN3" s="2"/>
      <c r="ABO3" s="2"/>
      <c r="ABP3" s="2"/>
      <c r="ABQ3" s="2"/>
      <c r="ABR3" s="2"/>
      <c r="ABS3" s="2"/>
      <c r="ABT3" s="2"/>
      <c r="ABU3" s="2"/>
      <c r="ABV3" s="2"/>
      <c r="ABW3" s="2"/>
      <c r="ABX3" s="2"/>
      <c r="ABY3" s="2"/>
      <c r="ABZ3" s="2"/>
      <c r="ACA3" s="2"/>
      <c r="ACB3" s="2"/>
      <c r="ACC3" s="2"/>
      <c r="ACD3" s="2"/>
      <c r="ACE3" s="2"/>
      <c r="ACF3" s="2"/>
      <c r="ACG3" s="2"/>
      <c r="ACH3" s="2"/>
      <c r="ACI3" s="2"/>
      <c r="ACJ3" s="2"/>
      <c r="ACK3" s="2"/>
      <c r="ACL3" s="2"/>
      <c r="ACM3" s="2"/>
      <c r="ACN3" s="2"/>
      <c r="ACO3" s="2"/>
      <c r="ACP3" s="2"/>
      <c r="ACQ3" s="2"/>
      <c r="ACR3" s="2"/>
      <c r="ACS3" s="2"/>
      <c r="ACT3" s="2"/>
      <c r="ACU3" s="2"/>
      <c r="ACV3" s="2"/>
      <c r="ACW3" s="2"/>
      <c r="ACX3" s="2"/>
      <c r="ACY3" s="2"/>
      <c r="ACZ3" s="2"/>
      <c r="ADA3" s="2"/>
      <c r="ADB3" s="2"/>
      <c r="ADC3" s="2"/>
      <c r="ADD3" s="2"/>
      <c r="ADE3" s="2"/>
      <c r="ADF3" s="2"/>
      <c r="ADG3" s="2"/>
      <c r="ADH3" s="2"/>
      <c r="ADI3" s="2"/>
      <c r="ADJ3" s="2"/>
      <c r="ADK3" s="2"/>
      <c r="ADL3" s="2"/>
      <c r="ADM3" s="2"/>
      <c r="ADN3" s="2"/>
      <c r="ADO3" s="2"/>
      <c r="ADP3" s="2"/>
      <c r="ADQ3" s="2"/>
      <c r="ADR3" s="2"/>
      <c r="ADS3" s="2"/>
      <c r="ADT3" s="2"/>
      <c r="ADU3" s="2"/>
      <c r="ADV3" s="2"/>
      <c r="ADW3" s="2"/>
      <c r="ADX3" s="2"/>
      <c r="ADY3" s="2"/>
      <c r="ADZ3" s="2"/>
      <c r="AEA3" s="2"/>
      <c r="AEB3" s="2"/>
      <c r="AEC3" s="2"/>
      <c r="AED3" s="2"/>
      <c r="AEE3" s="2"/>
      <c r="AEF3" s="2"/>
      <c r="AEG3" s="2"/>
      <c r="AEH3" s="2"/>
      <c r="AEI3" s="2"/>
      <c r="AEJ3" s="2"/>
      <c r="AEK3" s="2"/>
      <c r="AEL3" s="2"/>
      <c r="AEM3" s="2"/>
      <c r="AEN3" s="2"/>
      <c r="AEO3" s="2"/>
      <c r="AEP3" s="2"/>
      <c r="AEQ3" s="2"/>
      <c r="AER3" s="2"/>
      <c r="AES3" s="2"/>
      <c r="AET3" s="2"/>
      <c r="AEU3" s="2"/>
      <c r="AEV3" s="2"/>
      <c r="AEW3" s="2"/>
      <c r="AEX3" s="2"/>
      <c r="AEY3" s="2"/>
      <c r="AEZ3" s="2"/>
      <c r="AFA3" s="2"/>
      <c r="AFB3" s="2"/>
      <c r="AFC3" s="2"/>
      <c r="AFD3" s="2"/>
      <c r="AFE3" s="2"/>
      <c r="AFF3" s="2"/>
      <c r="AFG3" s="2"/>
      <c r="AFH3" s="2"/>
      <c r="AFI3" s="2"/>
      <c r="AFJ3" s="2"/>
      <c r="AFK3" s="2"/>
      <c r="AFL3" s="2"/>
      <c r="AFM3" s="2"/>
      <c r="AFN3" s="2"/>
      <c r="AFO3" s="2"/>
      <c r="AFP3" s="2"/>
      <c r="AFQ3" s="2"/>
      <c r="AFR3" s="2"/>
      <c r="AFS3" s="2"/>
      <c r="AFT3" s="2"/>
      <c r="AFU3" s="2"/>
      <c r="AFV3" s="2"/>
      <c r="AFW3" s="2"/>
      <c r="AFX3" s="2"/>
      <c r="AFY3" s="2"/>
      <c r="AFZ3" s="2"/>
      <c r="AGA3" s="2"/>
      <c r="AGB3" s="2"/>
      <c r="AGC3" s="2"/>
      <c r="AGD3" s="2"/>
      <c r="AGE3" s="2"/>
      <c r="AGF3" s="2"/>
      <c r="AGG3" s="2"/>
      <c r="AGH3" s="2"/>
      <c r="AGI3" s="2"/>
      <c r="AGJ3" s="2"/>
      <c r="AGK3" s="2"/>
      <c r="AGL3" s="2"/>
      <c r="AGM3" s="2"/>
      <c r="AGN3" s="2"/>
      <c r="AGO3" s="2"/>
      <c r="AGP3" s="2"/>
      <c r="AGQ3" s="2"/>
      <c r="AGR3" s="2"/>
      <c r="AGS3" s="2"/>
      <c r="AGT3" s="2"/>
      <c r="AGU3" s="2"/>
      <c r="AGV3" s="2"/>
      <c r="AGW3" s="2"/>
      <c r="AGX3" s="2"/>
      <c r="AGY3" s="2"/>
      <c r="AGZ3" s="2"/>
      <c r="AHA3" s="2"/>
      <c r="AHB3" s="2"/>
      <c r="AHC3" s="2"/>
      <c r="AHD3" s="2"/>
      <c r="AHE3" s="2"/>
      <c r="AHF3" s="2"/>
      <c r="AHG3" s="2"/>
      <c r="AHH3" s="2"/>
      <c r="AHI3" s="2"/>
      <c r="AHJ3" s="2"/>
      <c r="AHK3" s="2"/>
      <c r="AHL3" s="2"/>
      <c r="AHM3" s="2"/>
      <c r="AHN3" s="2"/>
      <c r="AHO3" s="2"/>
      <c r="AHP3" s="2"/>
      <c r="AHQ3" s="2"/>
      <c r="AHR3" s="2"/>
      <c r="AHS3" s="2"/>
      <c r="AHT3" s="2"/>
      <c r="AHU3" s="2"/>
      <c r="AHV3" s="2"/>
      <c r="AHW3" s="2"/>
      <c r="AHX3" s="2"/>
      <c r="AHY3" s="2"/>
      <c r="AHZ3" s="2"/>
      <c r="AIA3" s="2"/>
      <c r="AIB3" s="2"/>
      <c r="AIC3" s="2"/>
      <c r="AID3" s="2"/>
      <c r="AIE3" s="2"/>
      <c r="AIF3" s="2"/>
      <c r="AIG3" s="2"/>
      <c r="AIH3" s="2"/>
      <c r="AII3" s="2"/>
      <c r="AIJ3" s="2"/>
      <c r="AIK3" s="2"/>
      <c r="AIL3" s="2"/>
      <c r="AIM3" s="2"/>
      <c r="AIN3" s="2"/>
      <c r="AIO3" s="2"/>
      <c r="AIP3" s="2"/>
      <c r="AIQ3" s="2"/>
      <c r="AIR3" s="2"/>
      <c r="AIS3" s="2"/>
      <c r="AIT3" s="2"/>
      <c r="AIU3" s="2"/>
      <c r="AIV3" s="2"/>
      <c r="AIW3" s="2"/>
      <c r="AIX3" s="2"/>
      <c r="AIY3" s="2"/>
      <c r="AIZ3" s="2"/>
      <c r="AJA3" s="2"/>
      <c r="AJB3" s="2"/>
      <c r="AJC3" s="2"/>
      <c r="AJD3" s="2"/>
      <c r="AJE3" s="2"/>
      <c r="AJF3" s="2"/>
      <c r="AJG3" s="2"/>
      <c r="AJH3" s="2"/>
      <c r="AJI3" s="2"/>
      <c r="AJJ3" s="2"/>
      <c r="AJK3" s="2"/>
      <c r="AJL3" s="2"/>
      <c r="AJM3" s="2"/>
      <c r="AJN3" s="2"/>
      <c r="AJO3" s="2"/>
      <c r="AJP3" s="2"/>
      <c r="AJQ3" s="2"/>
      <c r="AJR3" s="2"/>
      <c r="AJS3" s="2"/>
      <c r="AJT3" s="2"/>
      <c r="AJU3" s="2"/>
      <c r="AJV3" s="2"/>
      <c r="AJW3" s="2"/>
      <c r="AJX3" s="2"/>
      <c r="AJY3" s="2"/>
      <c r="AJZ3" s="2"/>
      <c r="AKA3" s="2"/>
      <c r="AKB3" s="2"/>
      <c r="AKC3" s="2"/>
      <c r="AKD3" s="2"/>
      <c r="AKE3" s="2"/>
      <c r="AKF3" s="2"/>
      <c r="AKG3" s="2"/>
      <c r="AKH3" s="2"/>
      <c r="AKI3" s="2"/>
      <c r="AKJ3" s="2"/>
      <c r="AKK3" s="2"/>
      <c r="AKL3" s="2"/>
      <c r="AKM3" s="2"/>
      <c r="AKN3" s="2"/>
      <c r="AKO3" s="2"/>
      <c r="AKP3" s="2"/>
      <c r="AKQ3" s="2"/>
      <c r="AKR3" s="2"/>
      <c r="AKS3" s="2"/>
      <c r="AKT3" s="2"/>
      <c r="AKU3" s="2"/>
      <c r="AKV3" s="2"/>
      <c r="AKW3" s="2"/>
      <c r="AKX3" s="2"/>
      <c r="AKY3" s="2"/>
      <c r="AKZ3" s="2"/>
      <c r="ALA3" s="2"/>
      <c r="ALB3" s="2"/>
      <c r="ALC3" s="2"/>
      <c r="ALD3" s="2"/>
      <c r="ALE3" s="2"/>
      <c r="ALF3" s="2"/>
      <c r="ALG3" s="2"/>
      <c r="ALH3" s="2"/>
      <c r="ALI3" s="2"/>
      <c r="ALJ3" s="2"/>
      <c r="ALK3" s="2"/>
      <c r="ALL3" s="2"/>
      <c r="ALM3" s="2"/>
      <c r="ALN3" s="2"/>
      <c r="ALO3" s="2"/>
      <c r="ALP3" s="2"/>
      <c r="ALQ3" s="2"/>
      <c r="ALR3" s="2"/>
      <c r="ALS3" s="2"/>
      <c r="ALT3" s="2"/>
      <c r="ALU3" s="2"/>
      <c r="ALV3" s="2"/>
      <c r="ALW3" s="2"/>
      <c r="ALX3" s="2"/>
      <c r="ALY3" s="2"/>
      <c r="ALZ3" s="2"/>
      <c r="AMA3" s="2"/>
      <c r="AMB3" s="2"/>
      <c r="AMC3" s="2"/>
      <c r="AMD3" s="2"/>
      <c r="AME3" s="2"/>
      <c r="AMF3" s="2"/>
      <c r="AMG3" s="2"/>
      <c r="AMH3" s="2"/>
      <c r="AMI3" s="2"/>
      <c r="AMJ3" s="2"/>
    </row>
    <row r="4" customFormat="1" ht="17" spans="1:1024">
      <c r="A4" s="10">
        <v>45928</v>
      </c>
      <c r="B4" s="10" t="s">
        <v>16</v>
      </c>
      <c r="C4" s="11" t="s">
        <v>32</v>
      </c>
      <c r="D4" s="12" t="s">
        <v>33</v>
      </c>
      <c r="E4" s="11" t="s">
        <v>34</v>
      </c>
      <c r="F4" s="11" t="s">
        <v>35</v>
      </c>
      <c r="G4" s="11" t="s">
        <v>21</v>
      </c>
      <c r="H4" s="11">
        <v>104</v>
      </c>
      <c r="I4" s="14" t="s">
        <v>36</v>
      </c>
      <c r="J4" s="11">
        <v>104</v>
      </c>
      <c r="K4" s="18">
        <v>0.0798611111111111</v>
      </c>
      <c r="L4" s="12" t="s">
        <v>37</v>
      </c>
      <c r="M4" s="11">
        <v>19</v>
      </c>
      <c r="N4" s="24">
        <v>70</v>
      </c>
      <c r="O4" s="11" t="s">
        <v>38</v>
      </c>
      <c r="P4" s="11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  <c r="CE4" s="2"/>
      <c r="CF4" s="2"/>
      <c r="CG4" s="2"/>
      <c r="CH4" s="2"/>
      <c r="CI4" s="2"/>
      <c r="CJ4" s="2"/>
      <c r="CK4" s="2"/>
      <c r="CL4" s="2"/>
      <c r="CM4" s="2"/>
      <c r="CN4" s="2"/>
      <c r="CO4" s="2"/>
      <c r="CP4" s="2"/>
      <c r="CQ4" s="2"/>
      <c r="CR4" s="2"/>
      <c r="CS4" s="2"/>
      <c r="CT4" s="2"/>
      <c r="CU4" s="2"/>
      <c r="CV4" s="2"/>
      <c r="CW4" s="2"/>
      <c r="CX4" s="2"/>
      <c r="CY4" s="2"/>
      <c r="CZ4" s="2"/>
      <c r="DA4" s="2"/>
      <c r="DB4" s="2"/>
      <c r="DC4" s="2"/>
      <c r="DD4" s="2"/>
      <c r="DE4" s="2"/>
      <c r="DF4" s="2"/>
      <c r="DG4" s="2"/>
      <c r="DH4" s="2"/>
      <c r="DI4" s="2"/>
      <c r="DJ4" s="2"/>
      <c r="DK4" s="2"/>
      <c r="DL4" s="2"/>
      <c r="DM4" s="2"/>
      <c r="DN4" s="2"/>
      <c r="DO4" s="2"/>
      <c r="DP4" s="2"/>
      <c r="DQ4" s="2"/>
      <c r="DR4" s="2"/>
      <c r="DS4" s="2"/>
      <c r="DT4" s="2"/>
      <c r="DU4" s="2"/>
      <c r="DV4" s="2"/>
      <c r="DW4" s="2"/>
      <c r="DX4" s="2"/>
      <c r="DY4" s="2"/>
      <c r="DZ4" s="2"/>
      <c r="EA4" s="2"/>
      <c r="EB4" s="2"/>
      <c r="EC4" s="2"/>
      <c r="ED4" s="2"/>
      <c r="EE4" s="2"/>
      <c r="EF4" s="2"/>
      <c r="EG4" s="2"/>
      <c r="EH4" s="2"/>
      <c r="EI4" s="2"/>
      <c r="EJ4" s="2"/>
      <c r="EK4" s="2"/>
      <c r="EL4" s="2"/>
      <c r="EM4" s="2"/>
      <c r="EN4" s="2"/>
      <c r="EO4" s="2"/>
      <c r="EP4" s="2"/>
      <c r="EQ4" s="2"/>
      <c r="ER4" s="2"/>
      <c r="ES4" s="2"/>
      <c r="ET4" s="2"/>
      <c r="EU4" s="2"/>
      <c r="EV4" s="2"/>
      <c r="EW4" s="2"/>
      <c r="EX4" s="2"/>
      <c r="EY4" s="2"/>
      <c r="EZ4" s="2"/>
      <c r="FA4" s="2"/>
      <c r="FB4" s="2"/>
      <c r="FC4" s="2"/>
      <c r="FD4" s="2"/>
      <c r="FE4" s="2"/>
      <c r="FF4" s="2"/>
      <c r="FG4" s="2"/>
      <c r="FH4" s="2"/>
      <c r="FI4" s="2"/>
      <c r="FJ4" s="2"/>
      <c r="FK4" s="2"/>
      <c r="FL4" s="2"/>
      <c r="FM4" s="2"/>
      <c r="FN4" s="2"/>
      <c r="FO4" s="2"/>
      <c r="FP4" s="2"/>
      <c r="FQ4" s="2"/>
      <c r="FR4" s="2"/>
      <c r="FS4" s="2"/>
      <c r="FT4" s="2"/>
      <c r="FU4" s="2"/>
      <c r="FV4" s="2"/>
      <c r="FW4" s="2"/>
      <c r="FX4" s="2"/>
      <c r="FY4" s="2"/>
      <c r="FZ4" s="2"/>
      <c r="GA4" s="2"/>
      <c r="GB4" s="2"/>
      <c r="GC4" s="2"/>
      <c r="GD4" s="2"/>
      <c r="GE4" s="2"/>
      <c r="GF4" s="2"/>
      <c r="GG4" s="2"/>
      <c r="GH4" s="2"/>
      <c r="GI4" s="2"/>
      <c r="GJ4" s="2"/>
      <c r="GK4" s="2"/>
      <c r="GL4" s="2"/>
      <c r="GM4" s="2"/>
      <c r="GN4" s="2"/>
      <c r="GO4" s="2"/>
      <c r="GP4" s="2"/>
      <c r="GQ4" s="2"/>
      <c r="GR4" s="2"/>
      <c r="GS4" s="2"/>
      <c r="GT4" s="2"/>
      <c r="GU4" s="2"/>
      <c r="GV4" s="2"/>
      <c r="GW4" s="2"/>
      <c r="GX4" s="2"/>
      <c r="GY4" s="2"/>
      <c r="GZ4" s="2"/>
      <c r="HA4" s="2"/>
      <c r="HB4" s="2"/>
      <c r="HC4" s="2"/>
      <c r="HD4" s="2"/>
      <c r="HE4" s="2"/>
      <c r="HF4" s="2"/>
      <c r="HG4" s="2"/>
      <c r="HH4" s="2"/>
      <c r="HI4" s="2"/>
      <c r="HJ4" s="2"/>
      <c r="HK4" s="2"/>
      <c r="HL4" s="2"/>
      <c r="HM4" s="2"/>
      <c r="HN4" s="2"/>
      <c r="HO4" s="2"/>
      <c r="HP4" s="2"/>
      <c r="HQ4" s="2"/>
      <c r="HR4" s="2"/>
      <c r="HS4" s="2"/>
      <c r="HT4" s="2"/>
      <c r="HU4" s="2"/>
      <c r="HV4" s="2"/>
      <c r="HW4" s="2"/>
      <c r="HX4" s="2"/>
      <c r="HY4" s="2"/>
      <c r="HZ4" s="2"/>
      <c r="IA4" s="2"/>
      <c r="IB4" s="2"/>
      <c r="IC4" s="2"/>
      <c r="ID4" s="2"/>
      <c r="IE4" s="2"/>
      <c r="IF4" s="2"/>
      <c r="IG4" s="2"/>
      <c r="IH4" s="2"/>
      <c r="II4" s="2"/>
      <c r="IJ4" s="2"/>
      <c r="IK4" s="2"/>
      <c r="IL4" s="2"/>
      <c r="IM4" s="2"/>
      <c r="IN4" s="2"/>
      <c r="IO4" s="2"/>
      <c r="IP4" s="2"/>
      <c r="IQ4" s="2"/>
      <c r="IR4" s="2"/>
      <c r="IS4" s="2"/>
      <c r="IT4" s="2"/>
      <c r="IU4" s="2"/>
      <c r="IV4" s="2"/>
      <c r="IW4" s="2"/>
      <c r="IX4" s="2"/>
      <c r="IY4" s="2"/>
      <c r="IZ4" s="2"/>
      <c r="JA4" s="2"/>
      <c r="JB4" s="2"/>
      <c r="JC4" s="2"/>
      <c r="JD4" s="2"/>
      <c r="JE4" s="2"/>
      <c r="JF4" s="2"/>
      <c r="JG4" s="2"/>
      <c r="JH4" s="2"/>
      <c r="JI4" s="2"/>
      <c r="JJ4" s="2"/>
      <c r="JK4" s="2"/>
      <c r="JL4" s="2"/>
      <c r="JM4" s="2"/>
      <c r="JN4" s="2"/>
      <c r="JO4" s="2"/>
      <c r="JP4" s="2"/>
      <c r="JQ4" s="2"/>
      <c r="JR4" s="2"/>
      <c r="JS4" s="2"/>
      <c r="JT4" s="2"/>
      <c r="JU4" s="2"/>
      <c r="JV4" s="2"/>
      <c r="JW4" s="2"/>
      <c r="JX4" s="2"/>
      <c r="JY4" s="2"/>
      <c r="JZ4" s="2"/>
      <c r="KA4" s="2"/>
      <c r="KB4" s="2"/>
      <c r="KC4" s="2"/>
      <c r="KD4" s="2"/>
      <c r="KE4" s="2"/>
      <c r="KF4" s="2"/>
      <c r="KG4" s="2"/>
      <c r="KH4" s="2"/>
      <c r="KI4" s="2"/>
      <c r="KJ4" s="2"/>
      <c r="KK4" s="2"/>
      <c r="KL4" s="2"/>
      <c r="KM4" s="2"/>
      <c r="KN4" s="2"/>
      <c r="KO4" s="2"/>
      <c r="KP4" s="2"/>
      <c r="KQ4" s="2"/>
      <c r="KR4" s="2"/>
      <c r="KS4" s="2"/>
      <c r="KT4" s="2"/>
      <c r="KU4" s="2"/>
      <c r="KV4" s="2"/>
      <c r="KW4" s="2"/>
      <c r="KX4" s="2"/>
      <c r="KY4" s="2"/>
      <c r="KZ4" s="2"/>
      <c r="LA4" s="2"/>
      <c r="LB4" s="2"/>
      <c r="LC4" s="2"/>
      <c r="LD4" s="2"/>
      <c r="LE4" s="2"/>
      <c r="LF4" s="2"/>
      <c r="LG4" s="2"/>
      <c r="LH4" s="2"/>
      <c r="LI4" s="2"/>
      <c r="LJ4" s="2"/>
      <c r="LK4" s="2"/>
      <c r="LL4" s="2"/>
      <c r="LM4" s="2"/>
      <c r="LN4" s="2"/>
      <c r="LO4" s="2"/>
      <c r="LP4" s="2"/>
      <c r="LQ4" s="2"/>
      <c r="LR4" s="2"/>
      <c r="LS4" s="2"/>
      <c r="LT4" s="2"/>
      <c r="LU4" s="2"/>
      <c r="LV4" s="2"/>
      <c r="LW4" s="2"/>
      <c r="LX4" s="2"/>
      <c r="LY4" s="2"/>
      <c r="LZ4" s="2"/>
      <c r="MA4" s="2"/>
      <c r="MB4" s="2"/>
      <c r="MC4" s="2"/>
      <c r="MD4" s="2"/>
      <c r="ME4" s="2"/>
      <c r="MF4" s="2"/>
      <c r="MG4" s="2"/>
      <c r="MH4" s="2"/>
      <c r="MI4" s="2"/>
      <c r="MJ4" s="2"/>
      <c r="MK4" s="2"/>
      <c r="ML4" s="2"/>
      <c r="MM4" s="2"/>
      <c r="MN4" s="2"/>
      <c r="MO4" s="2"/>
      <c r="MP4" s="2"/>
      <c r="MQ4" s="2"/>
      <c r="MR4" s="2"/>
      <c r="MS4" s="2"/>
      <c r="MT4" s="2"/>
      <c r="MU4" s="2"/>
      <c r="MV4" s="2"/>
      <c r="MW4" s="2"/>
      <c r="MX4" s="2"/>
      <c r="MY4" s="2"/>
      <c r="MZ4" s="2"/>
      <c r="NA4" s="2"/>
      <c r="NB4" s="2"/>
      <c r="NC4" s="2"/>
      <c r="ND4" s="2"/>
      <c r="NE4" s="2"/>
      <c r="NF4" s="2"/>
      <c r="NG4" s="2"/>
      <c r="NH4" s="2"/>
      <c r="NI4" s="2"/>
      <c r="NJ4" s="2"/>
      <c r="NK4" s="2"/>
      <c r="NL4" s="2"/>
      <c r="NM4" s="2"/>
      <c r="NN4" s="2"/>
      <c r="NO4" s="2"/>
      <c r="NP4" s="2"/>
      <c r="NQ4" s="2"/>
      <c r="NR4" s="2"/>
      <c r="NS4" s="2"/>
      <c r="NT4" s="2"/>
      <c r="NU4" s="2"/>
      <c r="NV4" s="2"/>
      <c r="NW4" s="2"/>
      <c r="NX4" s="2"/>
      <c r="NY4" s="2"/>
      <c r="NZ4" s="2"/>
      <c r="OA4" s="2"/>
      <c r="OB4" s="2"/>
      <c r="OC4" s="2"/>
      <c r="OD4" s="2"/>
      <c r="OE4" s="2"/>
      <c r="OF4" s="2"/>
      <c r="OG4" s="2"/>
      <c r="OH4" s="2"/>
      <c r="OI4" s="2"/>
      <c r="OJ4" s="2"/>
      <c r="OK4" s="2"/>
      <c r="OL4" s="2"/>
      <c r="OM4" s="2"/>
      <c r="ON4" s="2"/>
      <c r="OO4" s="2"/>
      <c r="OP4" s="2"/>
      <c r="OQ4" s="2"/>
      <c r="OR4" s="2"/>
      <c r="OS4" s="2"/>
      <c r="OT4" s="2"/>
      <c r="OU4" s="2"/>
      <c r="OV4" s="2"/>
      <c r="OW4" s="2"/>
      <c r="OX4" s="2"/>
      <c r="OY4" s="2"/>
      <c r="OZ4" s="2"/>
      <c r="PA4" s="2"/>
      <c r="PB4" s="2"/>
      <c r="PC4" s="2"/>
      <c r="PD4" s="2"/>
      <c r="PE4" s="2"/>
      <c r="PF4" s="2"/>
      <c r="PG4" s="2"/>
      <c r="PH4" s="2"/>
      <c r="PI4" s="2"/>
      <c r="PJ4" s="2"/>
      <c r="PK4" s="2"/>
      <c r="PL4" s="2"/>
      <c r="PM4" s="2"/>
      <c r="PN4" s="2"/>
      <c r="PO4" s="2"/>
      <c r="PP4" s="2"/>
      <c r="PQ4" s="2"/>
      <c r="PR4" s="2"/>
      <c r="PS4" s="2"/>
      <c r="PT4" s="2"/>
      <c r="PU4" s="2"/>
      <c r="PV4" s="2"/>
      <c r="PW4" s="2"/>
      <c r="PX4" s="2"/>
      <c r="PY4" s="2"/>
      <c r="PZ4" s="2"/>
      <c r="QA4" s="2"/>
      <c r="QB4" s="2"/>
      <c r="QC4" s="2"/>
      <c r="QD4" s="2"/>
      <c r="QE4" s="2"/>
      <c r="QF4" s="2"/>
      <c r="QG4" s="2"/>
      <c r="QH4" s="2"/>
      <c r="QI4" s="2"/>
      <c r="QJ4" s="2"/>
      <c r="QK4" s="2"/>
      <c r="QL4" s="2"/>
      <c r="QM4" s="2"/>
      <c r="QN4" s="2"/>
      <c r="QO4" s="2"/>
      <c r="QP4" s="2"/>
      <c r="QQ4" s="2"/>
      <c r="QR4" s="2"/>
      <c r="QS4" s="2"/>
      <c r="QT4" s="2"/>
      <c r="QU4" s="2"/>
      <c r="QV4" s="2"/>
      <c r="QW4" s="2"/>
      <c r="QX4" s="2"/>
      <c r="QY4" s="2"/>
      <c r="QZ4" s="2"/>
      <c r="RA4" s="2"/>
      <c r="RB4" s="2"/>
      <c r="RC4" s="2"/>
      <c r="RD4" s="2"/>
      <c r="RE4" s="2"/>
      <c r="RF4" s="2"/>
      <c r="RG4" s="2"/>
      <c r="RH4" s="2"/>
      <c r="RI4" s="2"/>
      <c r="RJ4" s="2"/>
      <c r="RK4" s="2"/>
      <c r="RL4" s="2"/>
      <c r="RM4" s="2"/>
      <c r="RN4" s="2"/>
      <c r="RO4" s="2"/>
      <c r="RP4" s="2"/>
      <c r="RQ4" s="2"/>
      <c r="RR4" s="2"/>
      <c r="RS4" s="2"/>
      <c r="RT4" s="2"/>
      <c r="RU4" s="2"/>
      <c r="RV4" s="2"/>
      <c r="RW4" s="2"/>
      <c r="RX4" s="2"/>
      <c r="RY4" s="2"/>
      <c r="RZ4" s="2"/>
      <c r="SA4" s="2"/>
      <c r="SB4" s="2"/>
      <c r="SC4" s="2"/>
      <c r="SD4" s="2"/>
      <c r="SE4" s="2"/>
      <c r="SF4" s="2"/>
      <c r="SG4" s="2"/>
      <c r="SH4" s="2"/>
      <c r="SI4" s="2"/>
      <c r="SJ4" s="2"/>
      <c r="SK4" s="2"/>
      <c r="SL4" s="2"/>
      <c r="SM4" s="2"/>
      <c r="SN4" s="2"/>
      <c r="SO4" s="2"/>
      <c r="SP4" s="2"/>
      <c r="SQ4" s="2"/>
      <c r="SR4" s="2"/>
      <c r="SS4" s="2"/>
      <c r="ST4" s="2"/>
      <c r="SU4" s="2"/>
      <c r="SV4" s="2"/>
      <c r="SW4" s="2"/>
      <c r="SX4" s="2"/>
      <c r="SY4" s="2"/>
      <c r="SZ4" s="2"/>
      <c r="TA4" s="2"/>
      <c r="TB4" s="2"/>
      <c r="TC4" s="2"/>
      <c r="TD4" s="2"/>
      <c r="TE4" s="2"/>
      <c r="TF4" s="2"/>
      <c r="TG4" s="2"/>
      <c r="TH4" s="2"/>
      <c r="TI4" s="2"/>
      <c r="TJ4" s="2"/>
      <c r="TK4" s="2"/>
      <c r="TL4" s="2"/>
      <c r="TM4" s="2"/>
      <c r="TN4" s="2"/>
      <c r="TO4" s="2"/>
      <c r="TP4" s="2"/>
      <c r="TQ4" s="2"/>
      <c r="TR4" s="2"/>
      <c r="TS4" s="2"/>
      <c r="TT4" s="2"/>
      <c r="TU4" s="2"/>
      <c r="TV4" s="2"/>
      <c r="TW4" s="2"/>
      <c r="TX4" s="2"/>
      <c r="TY4" s="2"/>
      <c r="TZ4" s="2"/>
      <c r="UA4" s="2"/>
      <c r="UB4" s="2"/>
      <c r="UC4" s="2"/>
      <c r="UD4" s="2"/>
      <c r="UE4" s="2"/>
      <c r="UF4" s="2"/>
      <c r="UG4" s="2"/>
      <c r="UH4" s="2"/>
      <c r="UI4" s="2"/>
      <c r="UJ4" s="2"/>
      <c r="UK4" s="2"/>
      <c r="UL4" s="2"/>
      <c r="UM4" s="2"/>
      <c r="UN4" s="2"/>
      <c r="UO4" s="2"/>
      <c r="UP4" s="2"/>
      <c r="UQ4" s="2"/>
      <c r="UR4" s="2"/>
      <c r="US4" s="2"/>
      <c r="UT4" s="2"/>
      <c r="UU4" s="2"/>
      <c r="UV4" s="2"/>
      <c r="UW4" s="2"/>
      <c r="UX4" s="2"/>
      <c r="UY4" s="2"/>
      <c r="UZ4" s="2"/>
      <c r="VA4" s="2"/>
      <c r="VB4" s="2"/>
      <c r="VC4" s="2"/>
      <c r="VD4" s="2"/>
      <c r="VE4" s="2"/>
      <c r="VF4" s="2"/>
      <c r="VG4" s="2"/>
      <c r="VH4" s="2"/>
      <c r="VI4" s="2"/>
      <c r="VJ4" s="2"/>
      <c r="VK4" s="2"/>
      <c r="VL4" s="2"/>
      <c r="VM4" s="2"/>
      <c r="VN4" s="2"/>
      <c r="VO4" s="2"/>
      <c r="VP4" s="2"/>
      <c r="VQ4" s="2"/>
      <c r="VR4" s="2"/>
      <c r="VS4" s="2"/>
      <c r="VT4" s="2"/>
      <c r="VU4" s="2"/>
      <c r="VV4" s="2"/>
      <c r="VW4" s="2"/>
      <c r="VX4" s="2"/>
      <c r="VY4" s="2"/>
      <c r="VZ4" s="2"/>
      <c r="WA4" s="2"/>
      <c r="WB4" s="2"/>
      <c r="WC4" s="2"/>
      <c r="WD4" s="2"/>
      <c r="WE4" s="2"/>
      <c r="WF4" s="2"/>
      <c r="WG4" s="2"/>
      <c r="WH4" s="2"/>
      <c r="WI4" s="2"/>
      <c r="WJ4" s="2"/>
      <c r="WK4" s="2"/>
      <c r="WL4" s="2"/>
      <c r="WM4" s="2"/>
      <c r="WN4" s="2"/>
      <c r="WO4" s="2"/>
      <c r="WP4" s="2"/>
      <c r="WQ4" s="2"/>
      <c r="WR4" s="2"/>
      <c r="WS4" s="2"/>
      <c r="WT4" s="2"/>
      <c r="WU4" s="2"/>
      <c r="WV4" s="2"/>
      <c r="WW4" s="2"/>
      <c r="WX4" s="2"/>
      <c r="WY4" s="2"/>
      <c r="WZ4" s="2"/>
      <c r="XA4" s="2"/>
      <c r="XB4" s="2"/>
      <c r="XC4" s="2"/>
      <c r="XD4" s="2"/>
      <c r="XE4" s="2"/>
      <c r="XF4" s="2"/>
      <c r="XG4" s="2"/>
      <c r="XH4" s="2"/>
      <c r="XI4" s="2"/>
      <c r="XJ4" s="2"/>
      <c r="XK4" s="2"/>
      <c r="XL4" s="2"/>
      <c r="XM4" s="2"/>
      <c r="XN4" s="2"/>
      <c r="XO4" s="2"/>
      <c r="XP4" s="2"/>
      <c r="XQ4" s="2"/>
      <c r="XR4" s="2"/>
      <c r="XS4" s="2"/>
      <c r="XT4" s="2"/>
      <c r="XU4" s="2"/>
      <c r="XV4" s="2"/>
      <c r="XW4" s="2"/>
      <c r="XX4" s="2"/>
      <c r="XY4" s="2"/>
      <c r="XZ4" s="2"/>
      <c r="YA4" s="2"/>
      <c r="YB4" s="2"/>
      <c r="YC4" s="2"/>
      <c r="YD4" s="2"/>
      <c r="YE4" s="2"/>
      <c r="YF4" s="2"/>
      <c r="YG4" s="2"/>
      <c r="YH4" s="2"/>
      <c r="YI4" s="2"/>
      <c r="YJ4" s="2"/>
      <c r="YK4" s="2"/>
      <c r="YL4" s="2"/>
      <c r="YM4" s="2"/>
      <c r="YN4" s="2"/>
      <c r="YO4" s="2"/>
      <c r="YP4" s="2"/>
      <c r="YQ4" s="2"/>
      <c r="YR4" s="2"/>
      <c r="YS4" s="2"/>
      <c r="YT4" s="2"/>
      <c r="YU4" s="2"/>
      <c r="YV4" s="2"/>
      <c r="YW4" s="2"/>
      <c r="YX4" s="2"/>
      <c r="YY4" s="2"/>
      <c r="YZ4" s="2"/>
      <c r="ZA4" s="2"/>
      <c r="ZB4" s="2"/>
      <c r="ZC4" s="2"/>
      <c r="ZD4" s="2"/>
      <c r="ZE4" s="2"/>
      <c r="ZF4" s="2"/>
      <c r="ZG4" s="2"/>
      <c r="ZH4" s="2"/>
      <c r="ZI4" s="2"/>
      <c r="ZJ4" s="2"/>
      <c r="ZK4" s="2"/>
      <c r="ZL4" s="2"/>
      <c r="ZM4" s="2"/>
      <c r="ZN4" s="2"/>
      <c r="ZO4" s="2"/>
      <c r="ZP4" s="2"/>
      <c r="ZQ4" s="2"/>
      <c r="ZR4" s="2"/>
      <c r="ZS4" s="2"/>
      <c r="ZT4" s="2"/>
      <c r="ZU4" s="2"/>
      <c r="ZV4" s="2"/>
      <c r="ZW4" s="2"/>
      <c r="ZX4" s="2"/>
      <c r="ZY4" s="2"/>
      <c r="ZZ4" s="2"/>
      <c r="AAA4" s="2"/>
      <c r="AAB4" s="2"/>
      <c r="AAC4" s="2"/>
      <c r="AAD4" s="2"/>
      <c r="AAE4" s="2"/>
      <c r="AAF4" s="2"/>
      <c r="AAG4" s="2"/>
      <c r="AAH4" s="2"/>
      <c r="AAI4" s="2"/>
      <c r="AAJ4" s="2"/>
      <c r="AAK4" s="2"/>
      <c r="AAL4" s="2"/>
      <c r="AAM4" s="2"/>
      <c r="AAN4" s="2"/>
      <c r="AAO4" s="2"/>
      <c r="AAP4" s="2"/>
      <c r="AAQ4" s="2"/>
      <c r="AAR4" s="2"/>
      <c r="AAS4" s="2"/>
      <c r="AAT4" s="2"/>
      <c r="AAU4" s="2"/>
      <c r="AAV4" s="2"/>
      <c r="AAW4" s="2"/>
      <c r="AAX4" s="2"/>
      <c r="AAY4" s="2"/>
      <c r="AAZ4" s="2"/>
      <c r="ABA4" s="2"/>
      <c r="ABB4" s="2"/>
      <c r="ABC4" s="2"/>
      <c r="ABD4" s="2"/>
      <c r="ABE4" s="2"/>
      <c r="ABF4" s="2"/>
      <c r="ABG4" s="2"/>
      <c r="ABH4" s="2"/>
      <c r="ABI4" s="2"/>
      <c r="ABJ4" s="2"/>
      <c r="ABK4" s="2"/>
      <c r="ABL4" s="2"/>
      <c r="ABM4" s="2"/>
      <c r="ABN4" s="2"/>
      <c r="ABO4" s="2"/>
      <c r="ABP4" s="2"/>
      <c r="ABQ4" s="2"/>
      <c r="ABR4" s="2"/>
      <c r="ABS4" s="2"/>
      <c r="ABT4" s="2"/>
      <c r="ABU4" s="2"/>
      <c r="ABV4" s="2"/>
      <c r="ABW4" s="2"/>
      <c r="ABX4" s="2"/>
      <c r="ABY4" s="2"/>
      <c r="ABZ4" s="2"/>
      <c r="ACA4" s="2"/>
      <c r="ACB4" s="2"/>
      <c r="ACC4" s="2"/>
      <c r="ACD4" s="2"/>
      <c r="ACE4" s="2"/>
      <c r="ACF4" s="2"/>
      <c r="ACG4" s="2"/>
      <c r="ACH4" s="2"/>
      <c r="ACI4" s="2"/>
      <c r="ACJ4" s="2"/>
      <c r="ACK4" s="2"/>
      <c r="ACL4" s="2"/>
      <c r="ACM4" s="2"/>
      <c r="ACN4" s="2"/>
      <c r="ACO4" s="2"/>
      <c r="ACP4" s="2"/>
      <c r="ACQ4" s="2"/>
      <c r="ACR4" s="2"/>
      <c r="ACS4" s="2"/>
      <c r="ACT4" s="2"/>
      <c r="ACU4" s="2"/>
      <c r="ACV4" s="2"/>
      <c r="ACW4" s="2"/>
      <c r="ACX4" s="2"/>
      <c r="ACY4" s="2"/>
      <c r="ACZ4" s="2"/>
      <c r="ADA4" s="2"/>
      <c r="ADB4" s="2"/>
      <c r="ADC4" s="2"/>
      <c r="ADD4" s="2"/>
      <c r="ADE4" s="2"/>
      <c r="ADF4" s="2"/>
      <c r="ADG4" s="2"/>
      <c r="ADH4" s="2"/>
      <c r="ADI4" s="2"/>
      <c r="ADJ4" s="2"/>
      <c r="ADK4" s="2"/>
      <c r="ADL4" s="2"/>
      <c r="ADM4" s="2"/>
      <c r="ADN4" s="2"/>
      <c r="ADO4" s="2"/>
      <c r="ADP4" s="2"/>
      <c r="ADQ4" s="2"/>
      <c r="ADR4" s="2"/>
      <c r="ADS4" s="2"/>
      <c r="ADT4" s="2"/>
      <c r="ADU4" s="2"/>
      <c r="ADV4" s="2"/>
      <c r="ADW4" s="2"/>
      <c r="ADX4" s="2"/>
      <c r="ADY4" s="2"/>
      <c r="ADZ4" s="2"/>
      <c r="AEA4" s="2"/>
      <c r="AEB4" s="2"/>
      <c r="AEC4" s="2"/>
      <c r="AED4" s="2"/>
      <c r="AEE4" s="2"/>
      <c r="AEF4" s="2"/>
      <c r="AEG4" s="2"/>
      <c r="AEH4" s="2"/>
      <c r="AEI4" s="2"/>
      <c r="AEJ4" s="2"/>
      <c r="AEK4" s="2"/>
      <c r="AEL4" s="2"/>
      <c r="AEM4" s="2"/>
      <c r="AEN4" s="2"/>
      <c r="AEO4" s="2"/>
      <c r="AEP4" s="2"/>
      <c r="AEQ4" s="2"/>
      <c r="AER4" s="2"/>
      <c r="AES4" s="2"/>
      <c r="AET4" s="2"/>
      <c r="AEU4" s="2"/>
      <c r="AEV4" s="2"/>
      <c r="AEW4" s="2"/>
      <c r="AEX4" s="2"/>
      <c r="AEY4" s="2"/>
      <c r="AEZ4" s="2"/>
      <c r="AFA4" s="2"/>
      <c r="AFB4" s="2"/>
      <c r="AFC4" s="2"/>
      <c r="AFD4" s="2"/>
      <c r="AFE4" s="2"/>
      <c r="AFF4" s="2"/>
      <c r="AFG4" s="2"/>
      <c r="AFH4" s="2"/>
      <c r="AFI4" s="2"/>
      <c r="AFJ4" s="2"/>
      <c r="AFK4" s="2"/>
      <c r="AFL4" s="2"/>
      <c r="AFM4" s="2"/>
      <c r="AFN4" s="2"/>
      <c r="AFO4" s="2"/>
      <c r="AFP4" s="2"/>
      <c r="AFQ4" s="2"/>
      <c r="AFR4" s="2"/>
      <c r="AFS4" s="2"/>
      <c r="AFT4" s="2"/>
      <c r="AFU4" s="2"/>
      <c r="AFV4" s="2"/>
      <c r="AFW4" s="2"/>
      <c r="AFX4" s="2"/>
      <c r="AFY4" s="2"/>
      <c r="AFZ4" s="2"/>
      <c r="AGA4" s="2"/>
      <c r="AGB4" s="2"/>
      <c r="AGC4" s="2"/>
      <c r="AGD4" s="2"/>
      <c r="AGE4" s="2"/>
      <c r="AGF4" s="2"/>
      <c r="AGG4" s="2"/>
      <c r="AGH4" s="2"/>
      <c r="AGI4" s="2"/>
      <c r="AGJ4" s="2"/>
      <c r="AGK4" s="2"/>
      <c r="AGL4" s="2"/>
      <c r="AGM4" s="2"/>
      <c r="AGN4" s="2"/>
      <c r="AGO4" s="2"/>
      <c r="AGP4" s="2"/>
      <c r="AGQ4" s="2"/>
      <c r="AGR4" s="2"/>
      <c r="AGS4" s="2"/>
      <c r="AGT4" s="2"/>
      <c r="AGU4" s="2"/>
      <c r="AGV4" s="2"/>
      <c r="AGW4" s="2"/>
      <c r="AGX4" s="2"/>
      <c r="AGY4" s="2"/>
      <c r="AGZ4" s="2"/>
      <c r="AHA4" s="2"/>
      <c r="AHB4" s="2"/>
      <c r="AHC4" s="2"/>
      <c r="AHD4" s="2"/>
      <c r="AHE4" s="2"/>
      <c r="AHF4" s="2"/>
      <c r="AHG4" s="2"/>
      <c r="AHH4" s="2"/>
      <c r="AHI4" s="2"/>
      <c r="AHJ4" s="2"/>
      <c r="AHK4" s="2"/>
      <c r="AHL4" s="2"/>
      <c r="AHM4" s="2"/>
      <c r="AHN4" s="2"/>
      <c r="AHO4" s="2"/>
      <c r="AHP4" s="2"/>
      <c r="AHQ4" s="2"/>
      <c r="AHR4" s="2"/>
      <c r="AHS4" s="2"/>
      <c r="AHT4" s="2"/>
      <c r="AHU4" s="2"/>
      <c r="AHV4" s="2"/>
      <c r="AHW4" s="2"/>
      <c r="AHX4" s="2"/>
      <c r="AHY4" s="2"/>
      <c r="AHZ4" s="2"/>
      <c r="AIA4" s="2"/>
      <c r="AIB4" s="2"/>
      <c r="AIC4" s="2"/>
      <c r="AID4" s="2"/>
      <c r="AIE4" s="2"/>
      <c r="AIF4" s="2"/>
      <c r="AIG4" s="2"/>
      <c r="AIH4" s="2"/>
      <c r="AII4" s="2"/>
      <c r="AIJ4" s="2"/>
      <c r="AIK4" s="2"/>
      <c r="AIL4" s="2"/>
      <c r="AIM4" s="2"/>
      <c r="AIN4" s="2"/>
      <c r="AIO4" s="2"/>
      <c r="AIP4" s="2"/>
      <c r="AIQ4" s="2"/>
      <c r="AIR4" s="2"/>
      <c r="AIS4" s="2"/>
      <c r="AIT4" s="2"/>
      <c r="AIU4" s="2"/>
      <c r="AIV4" s="2"/>
      <c r="AIW4" s="2"/>
      <c r="AIX4" s="2"/>
      <c r="AIY4" s="2"/>
      <c r="AIZ4" s="2"/>
      <c r="AJA4" s="2"/>
      <c r="AJB4" s="2"/>
      <c r="AJC4" s="2"/>
      <c r="AJD4" s="2"/>
      <c r="AJE4" s="2"/>
      <c r="AJF4" s="2"/>
      <c r="AJG4" s="2"/>
      <c r="AJH4" s="2"/>
      <c r="AJI4" s="2"/>
      <c r="AJJ4" s="2"/>
      <c r="AJK4" s="2"/>
      <c r="AJL4" s="2"/>
      <c r="AJM4" s="2"/>
      <c r="AJN4" s="2"/>
      <c r="AJO4" s="2"/>
      <c r="AJP4" s="2"/>
      <c r="AJQ4" s="2"/>
      <c r="AJR4" s="2"/>
      <c r="AJS4" s="2"/>
      <c r="AJT4" s="2"/>
      <c r="AJU4" s="2"/>
      <c r="AJV4" s="2"/>
      <c r="AJW4" s="2"/>
      <c r="AJX4" s="2"/>
      <c r="AJY4" s="2"/>
      <c r="AJZ4" s="2"/>
      <c r="AKA4" s="2"/>
      <c r="AKB4" s="2"/>
      <c r="AKC4" s="2"/>
      <c r="AKD4" s="2"/>
      <c r="AKE4" s="2"/>
      <c r="AKF4" s="2"/>
      <c r="AKG4" s="2"/>
      <c r="AKH4" s="2"/>
      <c r="AKI4" s="2"/>
      <c r="AKJ4" s="2"/>
      <c r="AKK4" s="2"/>
      <c r="AKL4" s="2"/>
      <c r="AKM4" s="2"/>
      <c r="AKN4" s="2"/>
      <c r="AKO4" s="2"/>
      <c r="AKP4" s="2"/>
      <c r="AKQ4" s="2"/>
      <c r="AKR4" s="2"/>
      <c r="AKS4" s="2"/>
      <c r="AKT4" s="2"/>
      <c r="AKU4" s="2"/>
      <c r="AKV4" s="2"/>
      <c r="AKW4" s="2"/>
      <c r="AKX4" s="2"/>
      <c r="AKY4" s="2"/>
      <c r="AKZ4" s="2"/>
      <c r="ALA4" s="2"/>
      <c r="ALB4" s="2"/>
      <c r="ALC4" s="2"/>
      <c r="ALD4" s="2"/>
      <c r="ALE4" s="2"/>
      <c r="ALF4" s="2"/>
      <c r="ALG4" s="2"/>
      <c r="ALH4" s="2"/>
      <c r="ALI4" s="2"/>
      <c r="ALJ4" s="2"/>
      <c r="ALK4" s="2"/>
      <c r="ALL4" s="2"/>
      <c r="ALM4" s="2"/>
      <c r="ALN4" s="2"/>
      <c r="ALO4" s="2"/>
      <c r="ALP4" s="2"/>
      <c r="ALQ4" s="2"/>
      <c r="ALR4" s="2"/>
      <c r="ALS4" s="2"/>
      <c r="ALT4" s="2"/>
      <c r="ALU4" s="2"/>
      <c r="ALV4" s="2"/>
      <c r="ALW4" s="2"/>
      <c r="ALX4" s="2"/>
      <c r="ALY4" s="2"/>
      <c r="ALZ4" s="2"/>
      <c r="AMA4" s="2"/>
      <c r="AMB4" s="2"/>
      <c r="AMC4" s="2"/>
      <c r="AMD4" s="2"/>
      <c r="AME4" s="2"/>
      <c r="AMF4" s="2"/>
      <c r="AMG4" s="2"/>
      <c r="AMH4" s="2"/>
      <c r="AMI4" s="2"/>
      <c r="AMJ4" s="2"/>
    </row>
    <row r="5" s="2" customFormat="1" spans="1:16">
      <c r="A5" s="10">
        <v>45928</v>
      </c>
      <c r="B5" s="10" t="s">
        <v>39</v>
      </c>
      <c r="C5" s="11" t="s">
        <v>40</v>
      </c>
      <c r="D5" s="12" t="s">
        <v>41</v>
      </c>
      <c r="E5" s="11" t="s">
        <v>42</v>
      </c>
      <c r="F5" s="11" t="s">
        <v>43</v>
      </c>
      <c r="G5" s="11" t="s">
        <v>44</v>
      </c>
      <c r="H5" s="11">
        <v>1994</v>
      </c>
      <c r="I5" s="11" t="s">
        <v>45</v>
      </c>
      <c r="J5" s="11">
        <v>1994</v>
      </c>
      <c r="K5" s="19">
        <v>0.0923611111111111</v>
      </c>
      <c r="L5" s="12" t="s">
        <v>46</v>
      </c>
      <c r="M5" s="11" t="s">
        <v>47</v>
      </c>
      <c r="N5" s="24">
        <f>484-55</f>
        <v>429</v>
      </c>
      <c r="O5" s="11" t="s">
        <v>48</v>
      </c>
      <c r="P5" s="11"/>
    </row>
    <row r="6" s="2" customFormat="1" ht="17" spans="1:16">
      <c r="A6" s="10">
        <v>45925</v>
      </c>
      <c r="B6" s="10" t="s">
        <v>49</v>
      </c>
      <c r="C6" s="11" t="s">
        <v>50</v>
      </c>
      <c r="D6" s="12" t="s">
        <v>51</v>
      </c>
      <c r="E6" s="11" t="s">
        <v>52</v>
      </c>
      <c r="F6" s="11" t="s">
        <v>53</v>
      </c>
      <c r="G6" s="11" t="s">
        <v>54</v>
      </c>
      <c r="H6" s="11">
        <v>498</v>
      </c>
      <c r="I6" s="14" t="s">
        <v>55</v>
      </c>
      <c r="J6" s="11">
        <v>498</v>
      </c>
      <c r="K6" s="19">
        <v>0.132638888888889</v>
      </c>
      <c r="L6" s="12" t="s">
        <v>56</v>
      </c>
      <c r="M6" s="11" t="s">
        <v>57</v>
      </c>
      <c r="N6" s="24">
        <v>182</v>
      </c>
      <c r="O6" s="25" t="s">
        <v>58</v>
      </c>
      <c r="P6" s="11"/>
    </row>
    <row r="7" s="2" customFormat="1" spans="1:16">
      <c r="A7" s="10">
        <v>45924</v>
      </c>
      <c r="B7" s="10" t="s">
        <v>16</v>
      </c>
      <c r="C7" s="11"/>
      <c r="D7" s="12" t="s">
        <v>59</v>
      </c>
      <c r="E7" s="11" t="s">
        <v>60</v>
      </c>
      <c r="F7" s="11" t="s">
        <v>61</v>
      </c>
      <c r="G7" s="11" t="s">
        <v>62</v>
      </c>
      <c r="H7" s="11" t="s">
        <v>59</v>
      </c>
      <c r="I7" s="11" t="s">
        <v>63</v>
      </c>
      <c r="J7" s="11"/>
      <c r="K7" s="19"/>
      <c r="L7" s="4" t="s">
        <v>59</v>
      </c>
      <c r="M7" s="2" t="s">
        <v>59</v>
      </c>
      <c r="N7" s="6" t="s">
        <v>59</v>
      </c>
      <c r="O7" s="2" t="s">
        <v>59</v>
      </c>
      <c r="P7" s="11"/>
    </row>
    <row r="8" s="2" customFormat="1" spans="1:16">
      <c r="A8" s="10">
        <v>45923</v>
      </c>
      <c r="B8" s="10" t="s">
        <v>16</v>
      </c>
      <c r="C8" s="11"/>
      <c r="D8" s="12" t="s">
        <v>59</v>
      </c>
      <c r="E8" s="11" t="s">
        <v>64</v>
      </c>
      <c r="F8" s="11" t="s">
        <v>60</v>
      </c>
      <c r="G8" s="11" t="s">
        <v>62</v>
      </c>
      <c r="H8" s="11" t="s">
        <v>59</v>
      </c>
      <c r="I8" s="11" t="s">
        <v>65</v>
      </c>
      <c r="J8" s="11"/>
      <c r="K8" s="19"/>
      <c r="L8" s="4" t="s">
        <v>59</v>
      </c>
      <c r="M8" s="2" t="s">
        <v>59</v>
      </c>
      <c r="N8" s="6" t="s">
        <v>59</v>
      </c>
      <c r="O8" s="2" t="s">
        <v>59</v>
      </c>
      <c r="P8" s="11"/>
    </row>
    <row r="9" s="2" customFormat="1" spans="1:16">
      <c r="A9" s="10">
        <v>45922</v>
      </c>
      <c r="B9" s="10" t="s">
        <v>16</v>
      </c>
      <c r="C9" s="11"/>
      <c r="D9" s="12" t="s">
        <v>59</v>
      </c>
      <c r="E9" s="11" t="s">
        <v>66</v>
      </c>
      <c r="F9" s="11" t="s">
        <v>64</v>
      </c>
      <c r="G9" s="11" t="s">
        <v>62</v>
      </c>
      <c r="H9" s="11" t="s">
        <v>59</v>
      </c>
      <c r="I9" s="11" t="s">
        <v>67</v>
      </c>
      <c r="J9" s="11"/>
      <c r="K9" s="19"/>
      <c r="L9" s="4" t="s">
        <v>59</v>
      </c>
      <c r="M9" s="2" t="s">
        <v>59</v>
      </c>
      <c r="N9" s="6" t="s">
        <v>59</v>
      </c>
      <c r="O9" s="2" t="s">
        <v>59</v>
      </c>
      <c r="P9" s="11"/>
    </row>
    <row r="10" s="2" customFormat="1" spans="1:16">
      <c r="A10" s="10">
        <v>45921</v>
      </c>
      <c r="B10" s="10" t="s">
        <v>16</v>
      </c>
      <c r="C10" s="11"/>
      <c r="D10" s="12" t="s">
        <v>59</v>
      </c>
      <c r="E10" s="11" t="s">
        <v>68</v>
      </c>
      <c r="F10" s="11" t="s">
        <v>66</v>
      </c>
      <c r="G10" s="11" t="s">
        <v>62</v>
      </c>
      <c r="H10" s="11" t="s">
        <v>59</v>
      </c>
      <c r="I10" s="14" t="s">
        <v>69</v>
      </c>
      <c r="J10" s="11"/>
      <c r="K10" s="19"/>
      <c r="L10" s="4" t="s">
        <v>59</v>
      </c>
      <c r="M10" s="2" t="s">
        <v>59</v>
      </c>
      <c r="N10" s="6" t="s">
        <v>59</v>
      </c>
      <c r="O10" s="2" t="s">
        <v>59</v>
      </c>
      <c r="P10" s="11"/>
    </row>
    <row r="11" s="2" customFormat="1" spans="1:16">
      <c r="A11" s="10">
        <v>45920</v>
      </c>
      <c r="B11" s="10" t="s">
        <v>16</v>
      </c>
      <c r="C11" s="11"/>
      <c r="D11" s="12" t="s">
        <v>59</v>
      </c>
      <c r="E11" s="11" t="s">
        <v>70</v>
      </c>
      <c r="F11" s="11" t="s">
        <v>68</v>
      </c>
      <c r="G11" s="11" t="s">
        <v>62</v>
      </c>
      <c r="H11" s="11" t="s">
        <v>59</v>
      </c>
      <c r="I11" s="14" t="s">
        <v>71</v>
      </c>
      <c r="J11" s="11"/>
      <c r="K11" s="19"/>
      <c r="L11" s="4" t="s">
        <v>59</v>
      </c>
      <c r="M11" s="2" t="s">
        <v>59</v>
      </c>
      <c r="N11" s="6" t="s">
        <v>59</v>
      </c>
      <c r="O11" s="2" t="s">
        <v>59</v>
      </c>
      <c r="P11" s="11"/>
    </row>
    <row r="12" s="2" customFormat="1" spans="1:16">
      <c r="A12" s="10">
        <v>45919</v>
      </c>
      <c r="B12" s="10" t="s">
        <v>16</v>
      </c>
      <c r="C12" s="11"/>
      <c r="D12" s="12" t="s">
        <v>59</v>
      </c>
      <c r="E12" s="11" t="s">
        <v>72</v>
      </c>
      <c r="F12" s="11" t="s">
        <v>70</v>
      </c>
      <c r="G12" s="11" t="s">
        <v>62</v>
      </c>
      <c r="H12" s="11" t="s">
        <v>59</v>
      </c>
      <c r="I12" s="11" t="s">
        <v>73</v>
      </c>
      <c r="J12" s="11"/>
      <c r="K12" s="19"/>
      <c r="L12" s="4" t="s">
        <v>59</v>
      </c>
      <c r="M12" s="2" t="s">
        <v>59</v>
      </c>
      <c r="N12" s="6" t="s">
        <v>59</v>
      </c>
      <c r="O12" s="2" t="s">
        <v>59</v>
      </c>
      <c r="P12" s="11"/>
    </row>
    <row r="13" s="2" customFormat="1" spans="1:16">
      <c r="A13" s="10">
        <v>45918</v>
      </c>
      <c r="B13" s="10" t="s">
        <v>16</v>
      </c>
      <c r="C13" s="11"/>
      <c r="D13" s="12" t="s">
        <v>59</v>
      </c>
      <c r="E13" s="11" t="s">
        <v>74</v>
      </c>
      <c r="F13" s="11" t="s">
        <v>72</v>
      </c>
      <c r="G13" s="11" t="s">
        <v>62</v>
      </c>
      <c r="H13" s="11" t="s">
        <v>59</v>
      </c>
      <c r="I13" s="11" t="s">
        <v>75</v>
      </c>
      <c r="J13" s="11"/>
      <c r="K13" s="19"/>
      <c r="L13" s="4" t="s">
        <v>59</v>
      </c>
      <c r="M13" s="2" t="s">
        <v>59</v>
      </c>
      <c r="N13" s="6" t="s">
        <v>59</v>
      </c>
      <c r="O13" s="2" t="s">
        <v>59</v>
      </c>
      <c r="P13" s="11"/>
    </row>
    <row r="14" s="2" customFormat="1" spans="1:16">
      <c r="A14" s="10">
        <v>45918</v>
      </c>
      <c r="B14" s="10" t="s">
        <v>16</v>
      </c>
      <c r="C14" s="11"/>
      <c r="D14" s="12" t="s">
        <v>59</v>
      </c>
      <c r="E14" s="11" t="s">
        <v>76</v>
      </c>
      <c r="F14" s="11" t="s">
        <v>74</v>
      </c>
      <c r="G14" s="11" t="s">
        <v>62</v>
      </c>
      <c r="H14" s="11" t="s">
        <v>59</v>
      </c>
      <c r="I14" s="11" t="s">
        <v>77</v>
      </c>
      <c r="J14" s="11"/>
      <c r="K14" s="19"/>
      <c r="L14" s="4" t="s">
        <v>59</v>
      </c>
      <c r="M14" s="2" t="s">
        <v>59</v>
      </c>
      <c r="N14" s="6" t="s">
        <v>59</v>
      </c>
      <c r="O14" s="2" t="s">
        <v>59</v>
      </c>
      <c r="P14" s="11"/>
    </row>
    <row r="15" s="2" customFormat="1" spans="1:16">
      <c r="A15" s="10">
        <v>45917</v>
      </c>
      <c r="B15" s="10" t="s">
        <v>16</v>
      </c>
      <c r="C15" s="11"/>
      <c r="D15" s="12" t="s">
        <v>59</v>
      </c>
      <c r="E15" s="11" t="s">
        <v>78</v>
      </c>
      <c r="F15" s="11" t="s">
        <v>76</v>
      </c>
      <c r="G15" s="11" t="s">
        <v>62</v>
      </c>
      <c r="H15" s="11" t="s">
        <v>59</v>
      </c>
      <c r="I15" s="11" t="s">
        <v>79</v>
      </c>
      <c r="J15" s="11"/>
      <c r="K15" s="19"/>
      <c r="L15" s="4" t="s">
        <v>59</v>
      </c>
      <c r="M15" s="2" t="s">
        <v>59</v>
      </c>
      <c r="N15" s="6" t="s">
        <v>59</v>
      </c>
      <c r="O15" s="2" t="s">
        <v>59</v>
      </c>
      <c r="P15" s="11"/>
    </row>
    <row r="16" s="2" customFormat="1" spans="1:16">
      <c r="A16" s="10">
        <v>45916</v>
      </c>
      <c r="B16" s="10" t="s">
        <v>16</v>
      </c>
      <c r="C16" s="11"/>
      <c r="D16" s="12" t="s">
        <v>59</v>
      </c>
      <c r="E16" s="11" t="s">
        <v>80</v>
      </c>
      <c r="F16" s="11" t="s">
        <v>78</v>
      </c>
      <c r="G16" s="11" t="s">
        <v>62</v>
      </c>
      <c r="H16" s="11" t="s">
        <v>59</v>
      </c>
      <c r="I16" s="11" t="s">
        <v>81</v>
      </c>
      <c r="J16" s="11"/>
      <c r="K16" s="19"/>
      <c r="L16" s="4" t="s">
        <v>59</v>
      </c>
      <c r="M16" s="2" t="s">
        <v>59</v>
      </c>
      <c r="N16" s="6" t="s">
        <v>59</v>
      </c>
      <c r="O16" s="2" t="s">
        <v>59</v>
      </c>
      <c r="P16" s="11"/>
    </row>
    <row r="17" s="2" customFormat="1" spans="1:16">
      <c r="A17" s="10">
        <v>45915</v>
      </c>
      <c r="B17" s="10" t="s">
        <v>16</v>
      </c>
      <c r="C17" s="11"/>
      <c r="D17" s="12" t="s">
        <v>59</v>
      </c>
      <c r="E17" s="11" t="s">
        <v>82</v>
      </c>
      <c r="F17" s="11" t="s">
        <v>80</v>
      </c>
      <c r="G17" s="11" t="s">
        <v>62</v>
      </c>
      <c r="H17" s="11" t="s">
        <v>59</v>
      </c>
      <c r="I17" s="11" t="s">
        <v>83</v>
      </c>
      <c r="J17" s="11"/>
      <c r="K17" s="19"/>
      <c r="L17" s="4" t="s">
        <v>59</v>
      </c>
      <c r="M17" s="2" t="s">
        <v>59</v>
      </c>
      <c r="N17" s="6" t="s">
        <v>59</v>
      </c>
      <c r="O17" s="2" t="s">
        <v>59</v>
      </c>
      <c r="P17" s="11"/>
    </row>
    <row r="18" s="2" customFormat="1" spans="1:16">
      <c r="A18" s="10">
        <v>45914</v>
      </c>
      <c r="B18" s="10" t="s">
        <v>16</v>
      </c>
      <c r="C18" s="11"/>
      <c r="D18" s="12" t="s">
        <v>59</v>
      </c>
      <c r="E18" s="11" t="s">
        <v>84</v>
      </c>
      <c r="F18" s="11" t="s">
        <v>82</v>
      </c>
      <c r="G18" s="11" t="s">
        <v>62</v>
      </c>
      <c r="H18" s="11" t="s">
        <v>59</v>
      </c>
      <c r="I18" s="14" t="s">
        <v>85</v>
      </c>
      <c r="J18" s="11"/>
      <c r="K18" s="19"/>
      <c r="L18" s="4" t="s">
        <v>59</v>
      </c>
      <c r="M18" s="2" t="s">
        <v>59</v>
      </c>
      <c r="N18" s="6" t="s">
        <v>59</v>
      </c>
      <c r="O18" s="2" t="s">
        <v>59</v>
      </c>
      <c r="P18" s="11"/>
    </row>
    <row r="19" s="2" customFormat="1" spans="1:16">
      <c r="A19" s="10">
        <v>45913</v>
      </c>
      <c r="B19" s="10" t="s">
        <v>16</v>
      </c>
      <c r="C19" s="11"/>
      <c r="D19" s="12" t="s">
        <v>59</v>
      </c>
      <c r="E19" s="11" t="s">
        <v>86</v>
      </c>
      <c r="F19" s="11" t="s">
        <v>84</v>
      </c>
      <c r="G19" s="11" t="s">
        <v>62</v>
      </c>
      <c r="H19" s="11" t="s">
        <v>59</v>
      </c>
      <c r="I19" s="14" t="s">
        <v>87</v>
      </c>
      <c r="J19" s="11"/>
      <c r="K19" s="19"/>
      <c r="L19" s="4" t="s">
        <v>59</v>
      </c>
      <c r="M19" s="2" t="s">
        <v>59</v>
      </c>
      <c r="N19" s="6" t="s">
        <v>59</v>
      </c>
      <c r="O19" s="2" t="s">
        <v>59</v>
      </c>
      <c r="P19" s="11"/>
    </row>
    <row r="20" s="2" customFormat="1" spans="1:16">
      <c r="A20" s="10">
        <v>45913</v>
      </c>
      <c r="B20" s="10" t="s">
        <v>16</v>
      </c>
      <c r="C20" s="11"/>
      <c r="D20" s="12" t="s">
        <v>59</v>
      </c>
      <c r="E20" s="11" t="s">
        <v>88</v>
      </c>
      <c r="F20" s="11" t="s">
        <v>86</v>
      </c>
      <c r="G20" s="11" t="s">
        <v>62</v>
      </c>
      <c r="H20" s="11" t="s">
        <v>59</v>
      </c>
      <c r="I20" s="14" t="s">
        <v>89</v>
      </c>
      <c r="J20" s="11"/>
      <c r="K20" s="19"/>
      <c r="L20" s="4" t="s">
        <v>59</v>
      </c>
      <c r="M20" s="2" t="s">
        <v>59</v>
      </c>
      <c r="N20" s="6" t="s">
        <v>59</v>
      </c>
      <c r="O20" s="2" t="s">
        <v>59</v>
      </c>
      <c r="P20" s="11"/>
    </row>
    <row r="21" s="2" customFormat="1" spans="1:16">
      <c r="A21" s="10">
        <v>45912</v>
      </c>
      <c r="B21" s="10" t="s">
        <v>16</v>
      </c>
      <c r="C21" s="11"/>
      <c r="D21" s="12" t="s">
        <v>59</v>
      </c>
      <c r="E21" s="2" t="s">
        <v>90</v>
      </c>
      <c r="F21" s="11" t="s">
        <v>88</v>
      </c>
      <c r="G21" s="11" t="s">
        <v>62</v>
      </c>
      <c r="H21" s="11" t="s">
        <v>59</v>
      </c>
      <c r="I21" s="14" t="s">
        <v>91</v>
      </c>
      <c r="J21" s="11"/>
      <c r="K21" s="19"/>
      <c r="L21" s="4" t="s">
        <v>59</v>
      </c>
      <c r="M21" s="2" t="s">
        <v>59</v>
      </c>
      <c r="N21" s="6" t="s">
        <v>59</v>
      </c>
      <c r="O21" s="2" t="s">
        <v>59</v>
      </c>
      <c r="P21" s="11"/>
    </row>
    <row r="22" s="2" customFormat="1" spans="1:16">
      <c r="A22" s="10">
        <v>45912</v>
      </c>
      <c r="B22" s="10" t="s">
        <v>16</v>
      </c>
      <c r="C22" s="11"/>
      <c r="D22" s="12" t="s">
        <v>59</v>
      </c>
      <c r="E22" s="2" t="s">
        <v>92</v>
      </c>
      <c r="F22" s="2" t="s">
        <v>90</v>
      </c>
      <c r="G22" s="11" t="s">
        <v>62</v>
      </c>
      <c r="H22" s="11" t="s">
        <v>59</v>
      </c>
      <c r="I22" s="14" t="s">
        <v>93</v>
      </c>
      <c r="J22" s="11"/>
      <c r="K22" s="19"/>
      <c r="L22" s="4" t="s">
        <v>59</v>
      </c>
      <c r="M22" s="2" t="s">
        <v>59</v>
      </c>
      <c r="N22" s="6" t="s">
        <v>59</v>
      </c>
      <c r="O22" s="2" t="s">
        <v>59</v>
      </c>
      <c r="P22" s="11"/>
    </row>
    <row r="23" s="2" customFormat="1" spans="1:16">
      <c r="A23" s="10">
        <v>45912</v>
      </c>
      <c r="B23" s="10" t="s">
        <v>16</v>
      </c>
      <c r="C23" s="11"/>
      <c r="D23" s="12" t="s">
        <v>59</v>
      </c>
      <c r="E23" s="11" t="s">
        <v>94</v>
      </c>
      <c r="F23" s="2" t="s">
        <v>92</v>
      </c>
      <c r="G23" s="11" t="s">
        <v>62</v>
      </c>
      <c r="H23" s="11" t="s">
        <v>59</v>
      </c>
      <c r="I23" s="14" t="s">
        <v>95</v>
      </c>
      <c r="J23" s="11"/>
      <c r="K23" s="19"/>
      <c r="L23" s="4" t="s">
        <v>59</v>
      </c>
      <c r="M23" s="2" t="s">
        <v>59</v>
      </c>
      <c r="N23" s="6" t="s">
        <v>59</v>
      </c>
      <c r="O23" s="2" t="s">
        <v>59</v>
      </c>
      <c r="P23" s="11"/>
    </row>
    <row r="24" s="2" customFormat="1" spans="1:16">
      <c r="A24" s="10">
        <v>45910</v>
      </c>
      <c r="B24" s="10" t="s">
        <v>16</v>
      </c>
      <c r="C24" s="11"/>
      <c r="D24" s="12" t="s">
        <v>59</v>
      </c>
      <c r="E24" s="11" t="s">
        <v>96</v>
      </c>
      <c r="F24" s="11" t="s">
        <v>94</v>
      </c>
      <c r="G24" s="11" t="s">
        <v>62</v>
      </c>
      <c r="H24" s="11" t="s">
        <v>59</v>
      </c>
      <c r="I24" s="14" t="s">
        <v>97</v>
      </c>
      <c r="J24" s="11"/>
      <c r="K24" s="19"/>
      <c r="L24" s="4" t="s">
        <v>59</v>
      </c>
      <c r="M24" s="2" t="s">
        <v>59</v>
      </c>
      <c r="N24" s="6" t="s">
        <v>59</v>
      </c>
      <c r="O24" s="2" t="s">
        <v>59</v>
      </c>
      <c r="P24" s="11"/>
    </row>
    <row r="25" s="2" customFormat="1" ht="17" spans="1:16">
      <c r="A25" s="10">
        <v>45908</v>
      </c>
      <c r="B25" s="10" t="s">
        <v>16</v>
      </c>
      <c r="C25" s="11" t="s">
        <v>98</v>
      </c>
      <c r="D25" s="12" t="s">
        <v>99</v>
      </c>
      <c r="E25" s="11" t="s">
        <v>20</v>
      </c>
      <c r="F25" s="11" t="s">
        <v>100</v>
      </c>
      <c r="G25" s="11" t="s">
        <v>21</v>
      </c>
      <c r="H25" s="11">
        <v>96</v>
      </c>
      <c r="I25" s="14" t="s">
        <v>101</v>
      </c>
      <c r="J25" s="11">
        <v>96</v>
      </c>
      <c r="K25" s="19">
        <v>0.0555555555555556</v>
      </c>
      <c r="L25" s="12" t="s">
        <v>102</v>
      </c>
      <c r="M25" s="11">
        <v>22</v>
      </c>
      <c r="N25" s="24">
        <v>57</v>
      </c>
      <c r="O25" s="11" t="s">
        <v>30</v>
      </c>
      <c r="P25" s="11"/>
    </row>
    <row r="26" ht="17" spans="1:16">
      <c r="A26" s="10">
        <v>45793</v>
      </c>
      <c r="B26" s="10" t="s">
        <v>16</v>
      </c>
      <c r="C26" s="11" t="s">
        <v>103</v>
      </c>
      <c r="D26" s="12" t="s">
        <v>104</v>
      </c>
      <c r="E26" s="11" t="s">
        <v>34</v>
      </c>
      <c r="F26" s="11" t="s">
        <v>35</v>
      </c>
      <c r="G26" s="11" t="s">
        <v>21</v>
      </c>
      <c r="H26" s="11">
        <v>104</v>
      </c>
      <c r="I26" s="14" t="s">
        <v>36</v>
      </c>
      <c r="J26" s="11">
        <v>104</v>
      </c>
      <c r="K26" s="18">
        <v>0.0833333333333333</v>
      </c>
      <c r="L26" s="12" t="s">
        <v>37</v>
      </c>
      <c r="M26" s="11">
        <v>37</v>
      </c>
      <c r="N26" s="24">
        <v>70</v>
      </c>
      <c r="O26" s="11" t="s">
        <v>38</v>
      </c>
      <c r="P26" s="11"/>
    </row>
    <row r="27" ht="17" spans="1:16">
      <c r="A27" s="10">
        <v>45793</v>
      </c>
      <c r="B27" s="10" t="s">
        <v>39</v>
      </c>
      <c r="C27" s="11" t="s">
        <v>105</v>
      </c>
      <c r="D27" s="12" t="s">
        <v>106</v>
      </c>
      <c r="E27" s="11" t="s">
        <v>107</v>
      </c>
      <c r="F27" s="11" t="s">
        <v>43</v>
      </c>
      <c r="G27" s="14" t="s">
        <v>108</v>
      </c>
      <c r="H27" s="11">
        <v>1886</v>
      </c>
      <c r="I27" s="14" t="s">
        <v>109</v>
      </c>
      <c r="J27" s="11">
        <v>1886</v>
      </c>
      <c r="K27" s="18">
        <v>0.125694444444444</v>
      </c>
      <c r="L27" s="12"/>
      <c r="M27" s="11"/>
      <c r="N27" s="24">
        <v>728</v>
      </c>
      <c r="O27" s="11" t="s">
        <v>110</v>
      </c>
      <c r="P27" s="14" t="s">
        <v>111</v>
      </c>
    </row>
    <row r="28" ht="17" spans="1:16">
      <c r="A28" s="10">
        <v>45793</v>
      </c>
      <c r="B28" s="10" t="s">
        <v>49</v>
      </c>
      <c r="C28" s="11" t="s">
        <v>112</v>
      </c>
      <c r="D28" s="12" t="s">
        <v>113</v>
      </c>
      <c r="E28" s="11" t="s">
        <v>114</v>
      </c>
      <c r="F28" s="11" t="s">
        <v>107</v>
      </c>
      <c r="G28" s="11" t="s">
        <v>115</v>
      </c>
      <c r="I28" s="20" t="s">
        <v>116</v>
      </c>
      <c r="K28" s="18">
        <v>0.0479166666666667</v>
      </c>
      <c r="L28" s="12"/>
      <c r="M28" s="11"/>
      <c r="N28" s="24">
        <f>1372/20</f>
        <v>68.6</v>
      </c>
      <c r="O28" s="11" t="s">
        <v>117</v>
      </c>
      <c r="P28" s="11"/>
    </row>
    <row r="29" ht="17" spans="1:16">
      <c r="A29" s="10">
        <v>45790</v>
      </c>
      <c r="B29" s="10" t="s">
        <v>49</v>
      </c>
      <c r="C29" s="10" t="s">
        <v>118</v>
      </c>
      <c r="D29" s="12" t="s">
        <v>119</v>
      </c>
      <c r="E29" s="11" t="s">
        <v>114</v>
      </c>
      <c r="F29" s="11" t="s">
        <v>114</v>
      </c>
      <c r="G29" s="11" t="s">
        <v>120</v>
      </c>
      <c r="I29" s="11" t="s">
        <v>121</v>
      </c>
      <c r="K29" s="18" t="s">
        <v>122</v>
      </c>
      <c r="L29" s="12"/>
      <c r="M29" s="11"/>
      <c r="N29" s="24">
        <f>209/20</f>
        <v>10.45</v>
      </c>
      <c r="O29" s="26" t="s">
        <v>123</v>
      </c>
      <c r="P29" s="11"/>
    </row>
    <row r="30" ht="17" spans="1:16">
      <c r="A30" s="10">
        <v>45790</v>
      </c>
      <c r="B30" s="10" t="s">
        <v>49</v>
      </c>
      <c r="C30" s="11" t="s">
        <v>124</v>
      </c>
      <c r="D30" s="12" t="s">
        <v>125</v>
      </c>
      <c r="E30" s="11" t="s">
        <v>126</v>
      </c>
      <c r="F30" s="11" t="s">
        <v>114</v>
      </c>
      <c r="G30" s="11" t="s">
        <v>127</v>
      </c>
      <c r="H30" s="11"/>
      <c r="I30" s="11" t="s">
        <v>128</v>
      </c>
      <c r="J30" s="11"/>
      <c r="K30" s="18" t="s">
        <v>129</v>
      </c>
      <c r="L30" s="12"/>
      <c r="M30" s="11"/>
      <c r="N30" s="24">
        <f>858/20</f>
        <v>42.9</v>
      </c>
      <c r="O30" s="11" t="s">
        <v>130</v>
      </c>
      <c r="P30" s="11"/>
    </row>
    <row r="31" ht="17" spans="1:16">
      <c r="A31" s="10">
        <v>45790</v>
      </c>
      <c r="B31" s="10" t="s">
        <v>49</v>
      </c>
      <c r="C31" s="11" t="s">
        <v>131</v>
      </c>
      <c r="D31" s="12" t="s">
        <v>132</v>
      </c>
      <c r="E31" s="11" t="s">
        <v>133</v>
      </c>
      <c r="F31" s="11" t="s">
        <v>126</v>
      </c>
      <c r="G31" s="11" t="s">
        <v>134</v>
      </c>
      <c r="H31" s="11"/>
      <c r="I31" s="11" t="s">
        <v>135</v>
      </c>
      <c r="J31" s="11"/>
      <c r="K31" s="18" t="s">
        <v>136</v>
      </c>
      <c r="L31" s="12"/>
      <c r="M31" s="11"/>
      <c r="N31" s="24">
        <f>220/20</f>
        <v>11</v>
      </c>
      <c r="O31" s="14" t="s">
        <v>137</v>
      </c>
      <c r="P31" s="11"/>
    </row>
    <row r="32" customFormat="1" ht="17" spans="1:1024">
      <c r="A32" s="10">
        <v>45790</v>
      </c>
      <c r="B32" s="10" t="s">
        <v>49</v>
      </c>
      <c r="C32" s="10" t="s">
        <v>138</v>
      </c>
      <c r="D32" s="12" t="s">
        <v>132</v>
      </c>
      <c r="E32" s="11" t="s">
        <v>139</v>
      </c>
      <c r="F32" s="11" t="s">
        <v>133</v>
      </c>
      <c r="G32" s="11" t="s">
        <v>134</v>
      </c>
      <c r="H32" s="11"/>
      <c r="I32" s="11" t="s">
        <v>140</v>
      </c>
      <c r="J32" s="11"/>
      <c r="K32" s="18" t="s">
        <v>141</v>
      </c>
      <c r="L32" s="12"/>
      <c r="M32" s="11"/>
      <c r="N32" s="24">
        <v>13</v>
      </c>
      <c r="O32" s="26" t="s">
        <v>137</v>
      </c>
      <c r="P32" s="11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  <c r="CF32" s="2"/>
      <c r="CG32" s="2"/>
      <c r="CH32" s="2"/>
      <c r="CI32" s="2"/>
      <c r="CJ32" s="2"/>
      <c r="CK32" s="2"/>
      <c r="CL32" s="2"/>
      <c r="CM32" s="2"/>
      <c r="CN32" s="2"/>
      <c r="CO32" s="2"/>
      <c r="CP32" s="2"/>
      <c r="CQ32" s="2"/>
      <c r="CR32" s="2"/>
      <c r="CS32" s="2"/>
      <c r="CT32" s="2"/>
      <c r="CU32" s="2"/>
      <c r="CV32" s="2"/>
      <c r="CW32" s="2"/>
      <c r="CX32" s="2"/>
      <c r="CY32" s="2"/>
      <c r="CZ32" s="2"/>
      <c r="DA32" s="2"/>
      <c r="DB32" s="2"/>
      <c r="DC32" s="2"/>
      <c r="DD32" s="2"/>
      <c r="DE32" s="2"/>
      <c r="DF32" s="2"/>
      <c r="DG32" s="2"/>
      <c r="DH32" s="2"/>
      <c r="DI32" s="2"/>
      <c r="DJ32" s="2"/>
      <c r="DK32" s="2"/>
      <c r="DL32" s="2"/>
      <c r="DM32" s="2"/>
      <c r="DN32" s="2"/>
      <c r="DO32" s="2"/>
      <c r="DP32" s="2"/>
      <c r="DQ32" s="2"/>
      <c r="DR32" s="2"/>
      <c r="DS32" s="2"/>
      <c r="DT32" s="2"/>
      <c r="DU32" s="2"/>
      <c r="DV32" s="2"/>
      <c r="DW32" s="2"/>
      <c r="DX32" s="2"/>
      <c r="DY32" s="2"/>
      <c r="DZ32" s="2"/>
      <c r="EA32" s="2"/>
      <c r="EB32" s="2"/>
      <c r="EC32" s="2"/>
      <c r="ED32" s="2"/>
      <c r="EE32" s="2"/>
      <c r="EF32" s="2"/>
      <c r="EG32" s="2"/>
      <c r="EH32" s="2"/>
      <c r="EI32" s="2"/>
      <c r="EJ32" s="2"/>
      <c r="EK32" s="2"/>
      <c r="EL32" s="2"/>
      <c r="EM32" s="2"/>
      <c r="EN32" s="2"/>
      <c r="EO32" s="2"/>
      <c r="EP32" s="2"/>
      <c r="EQ32" s="2"/>
      <c r="ER32" s="2"/>
      <c r="ES32" s="2"/>
      <c r="ET32" s="2"/>
      <c r="EU32" s="2"/>
      <c r="EV32" s="2"/>
      <c r="EW32" s="2"/>
      <c r="EX32" s="2"/>
      <c r="EY32" s="2"/>
      <c r="EZ32" s="2"/>
      <c r="FA32" s="2"/>
      <c r="FB32" s="2"/>
      <c r="FC32" s="2"/>
      <c r="FD32" s="2"/>
      <c r="FE32" s="2"/>
      <c r="FF32" s="2"/>
      <c r="FG32" s="2"/>
      <c r="FH32" s="2"/>
      <c r="FI32" s="2"/>
      <c r="FJ32" s="2"/>
      <c r="FK32" s="2"/>
      <c r="FL32" s="2"/>
      <c r="FM32" s="2"/>
      <c r="FN32" s="2"/>
      <c r="FO32" s="2"/>
      <c r="FP32" s="2"/>
      <c r="FQ32" s="2"/>
      <c r="FR32" s="2"/>
      <c r="FS32" s="2"/>
      <c r="FT32" s="2"/>
      <c r="FU32" s="2"/>
      <c r="FV32" s="2"/>
      <c r="FW32" s="2"/>
      <c r="FX32" s="2"/>
      <c r="FY32" s="2"/>
      <c r="FZ32" s="2"/>
      <c r="GA32" s="2"/>
      <c r="GB32" s="2"/>
      <c r="GC32" s="2"/>
      <c r="GD32" s="2"/>
      <c r="GE32" s="2"/>
      <c r="GF32" s="2"/>
      <c r="GG32" s="2"/>
      <c r="GH32" s="2"/>
      <c r="GI32" s="2"/>
      <c r="GJ32" s="2"/>
      <c r="GK32" s="2"/>
      <c r="GL32" s="2"/>
      <c r="GM32" s="2"/>
      <c r="GN32" s="2"/>
      <c r="GO32" s="2"/>
      <c r="GP32" s="2"/>
      <c r="GQ32" s="2"/>
      <c r="GR32" s="2"/>
      <c r="GS32" s="2"/>
      <c r="GT32" s="2"/>
      <c r="GU32" s="2"/>
      <c r="GV32" s="2"/>
      <c r="GW32" s="2"/>
      <c r="GX32" s="2"/>
      <c r="GY32" s="2"/>
      <c r="GZ32" s="2"/>
      <c r="HA32" s="2"/>
      <c r="HB32" s="2"/>
      <c r="HC32" s="2"/>
      <c r="HD32" s="2"/>
      <c r="HE32" s="2"/>
      <c r="HF32" s="2"/>
      <c r="HG32" s="2"/>
      <c r="HH32" s="2"/>
      <c r="HI32" s="2"/>
      <c r="HJ32" s="2"/>
      <c r="HK32" s="2"/>
      <c r="HL32" s="2"/>
      <c r="HM32" s="2"/>
      <c r="HN32" s="2"/>
      <c r="HO32" s="2"/>
      <c r="HP32" s="2"/>
      <c r="HQ32" s="2"/>
      <c r="HR32" s="2"/>
      <c r="HS32" s="2"/>
      <c r="HT32" s="2"/>
      <c r="HU32" s="2"/>
      <c r="HV32" s="2"/>
      <c r="HW32" s="2"/>
      <c r="HX32" s="2"/>
      <c r="HY32" s="2"/>
      <c r="HZ32" s="2"/>
      <c r="IA32" s="2"/>
      <c r="IB32" s="2"/>
      <c r="IC32" s="2"/>
      <c r="ID32" s="2"/>
      <c r="IE32" s="2"/>
      <c r="IF32" s="2"/>
      <c r="IG32" s="2"/>
      <c r="IH32" s="2"/>
      <c r="II32" s="2"/>
      <c r="IJ32" s="2"/>
      <c r="IK32" s="2"/>
      <c r="IL32" s="2"/>
      <c r="IM32" s="2"/>
      <c r="IN32" s="2"/>
      <c r="IO32" s="2"/>
      <c r="IP32" s="2"/>
      <c r="IQ32" s="2"/>
      <c r="IR32" s="2"/>
      <c r="IS32" s="2"/>
      <c r="IT32" s="2"/>
      <c r="IU32" s="2"/>
      <c r="IV32" s="2"/>
      <c r="IW32" s="2"/>
      <c r="IX32" s="2"/>
      <c r="IY32" s="2"/>
      <c r="IZ32" s="2"/>
      <c r="JA32" s="2"/>
      <c r="JB32" s="2"/>
      <c r="JC32" s="2"/>
      <c r="JD32" s="2"/>
      <c r="JE32" s="2"/>
      <c r="JF32" s="2"/>
      <c r="JG32" s="2"/>
      <c r="JH32" s="2"/>
      <c r="JI32" s="2"/>
      <c r="JJ32" s="2"/>
      <c r="JK32" s="2"/>
      <c r="JL32" s="2"/>
      <c r="JM32" s="2"/>
      <c r="JN32" s="2"/>
      <c r="JO32" s="2"/>
      <c r="JP32" s="2"/>
      <c r="JQ32" s="2"/>
      <c r="JR32" s="2"/>
      <c r="JS32" s="2"/>
      <c r="JT32" s="2"/>
      <c r="JU32" s="2"/>
      <c r="JV32" s="2"/>
      <c r="JW32" s="2"/>
      <c r="JX32" s="2"/>
      <c r="JY32" s="2"/>
      <c r="JZ32" s="2"/>
      <c r="KA32" s="2"/>
      <c r="KB32" s="2"/>
      <c r="KC32" s="2"/>
      <c r="KD32" s="2"/>
      <c r="KE32" s="2"/>
      <c r="KF32" s="2"/>
      <c r="KG32" s="2"/>
      <c r="KH32" s="2"/>
      <c r="KI32" s="2"/>
      <c r="KJ32" s="2"/>
      <c r="KK32" s="2"/>
      <c r="KL32" s="2"/>
      <c r="KM32" s="2"/>
      <c r="KN32" s="2"/>
      <c r="KO32" s="2"/>
      <c r="KP32" s="2"/>
      <c r="KQ32" s="2"/>
      <c r="KR32" s="2"/>
      <c r="KS32" s="2"/>
      <c r="KT32" s="2"/>
      <c r="KU32" s="2"/>
      <c r="KV32" s="2"/>
      <c r="KW32" s="2"/>
      <c r="KX32" s="2"/>
      <c r="KY32" s="2"/>
      <c r="KZ32" s="2"/>
      <c r="LA32" s="2"/>
      <c r="LB32" s="2"/>
      <c r="LC32" s="2"/>
      <c r="LD32" s="2"/>
      <c r="LE32" s="2"/>
      <c r="LF32" s="2"/>
      <c r="LG32" s="2"/>
      <c r="LH32" s="2"/>
      <c r="LI32" s="2"/>
      <c r="LJ32" s="2"/>
      <c r="LK32" s="2"/>
      <c r="LL32" s="2"/>
      <c r="LM32" s="2"/>
      <c r="LN32" s="2"/>
      <c r="LO32" s="2"/>
      <c r="LP32" s="2"/>
      <c r="LQ32" s="2"/>
      <c r="LR32" s="2"/>
      <c r="LS32" s="2"/>
      <c r="LT32" s="2"/>
      <c r="LU32" s="2"/>
      <c r="LV32" s="2"/>
      <c r="LW32" s="2"/>
      <c r="LX32" s="2"/>
      <c r="LY32" s="2"/>
      <c r="LZ32" s="2"/>
      <c r="MA32" s="2"/>
      <c r="MB32" s="2"/>
      <c r="MC32" s="2"/>
      <c r="MD32" s="2"/>
      <c r="ME32" s="2"/>
      <c r="MF32" s="2"/>
      <c r="MG32" s="2"/>
      <c r="MH32" s="2"/>
      <c r="MI32" s="2"/>
      <c r="MJ32" s="2"/>
      <c r="MK32" s="2"/>
      <c r="ML32" s="2"/>
      <c r="MM32" s="2"/>
      <c r="MN32" s="2"/>
      <c r="MO32" s="2"/>
      <c r="MP32" s="2"/>
      <c r="MQ32" s="2"/>
      <c r="MR32" s="2"/>
      <c r="MS32" s="2"/>
      <c r="MT32" s="2"/>
      <c r="MU32" s="2"/>
      <c r="MV32" s="2"/>
      <c r="MW32" s="2"/>
      <c r="MX32" s="2"/>
      <c r="MY32" s="2"/>
      <c r="MZ32" s="2"/>
      <c r="NA32" s="2"/>
      <c r="NB32" s="2"/>
      <c r="NC32" s="2"/>
      <c r="ND32" s="2"/>
      <c r="NE32" s="2"/>
      <c r="NF32" s="2"/>
      <c r="NG32" s="2"/>
      <c r="NH32" s="2"/>
      <c r="NI32" s="2"/>
      <c r="NJ32" s="2"/>
      <c r="NK32" s="2"/>
      <c r="NL32" s="2"/>
      <c r="NM32" s="2"/>
      <c r="NN32" s="2"/>
      <c r="NO32" s="2"/>
      <c r="NP32" s="2"/>
      <c r="NQ32" s="2"/>
      <c r="NR32" s="2"/>
      <c r="NS32" s="2"/>
      <c r="NT32" s="2"/>
      <c r="NU32" s="2"/>
      <c r="NV32" s="2"/>
      <c r="NW32" s="2"/>
      <c r="NX32" s="2"/>
      <c r="NY32" s="2"/>
      <c r="NZ32" s="2"/>
      <c r="OA32" s="2"/>
      <c r="OB32" s="2"/>
      <c r="OC32" s="2"/>
      <c r="OD32" s="2"/>
      <c r="OE32" s="2"/>
      <c r="OF32" s="2"/>
      <c r="OG32" s="2"/>
      <c r="OH32" s="2"/>
      <c r="OI32" s="2"/>
      <c r="OJ32" s="2"/>
      <c r="OK32" s="2"/>
      <c r="OL32" s="2"/>
      <c r="OM32" s="2"/>
      <c r="ON32" s="2"/>
      <c r="OO32" s="2"/>
      <c r="OP32" s="2"/>
      <c r="OQ32" s="2"/>
      <c r="OR32" s="2"/>
      <c r="OS32" s="2"/>
      <c r="OT32" s="2"/>
      <c r="OU32" s="2"/>
      <c r="OV32" s="2"/>
      <c r="OW32" s="2"/>
      <c r="OX32" s="2"/>
      <c r="OY32" s="2"/>
      <c r="OZ32" s="2"/>
      <c r="PA32" s="2"/>
      <c r="PB32" s="2"/>
      <c r="PC32" s="2"/>
      <c r="PD32" s="2"/>
      <c r="PE32" s="2"/>
      <c r="PF32" s="2"/>
      <c r="PG32" s="2"/>
      <c r="PH32" s="2"/>
      <c r="PI32" s="2"/>
      <c r="PJ32" s="2"/>
      <c r="PK32" s="2"/>
      <c r="PL32" s="2"/>
      <c r="PM32" s="2"/>
      <c r="PN32" s="2"/>
      <c r="PO32" s="2"/>
      <c r="PP32" s="2"/>
      <c r="PQ32" s="2"/>
      <c r="PR32" s="2"/>
      <c r="PS32" s="2"/>
      <c r="PT32" s="2"/>
      <c r="PU32" s="2"/>
      <c r="PV32" s="2"/>
      <c r="PW32" s="2"/>
      <c r="PX32" s="2"/>
      <c r="PY32" s="2"/>
      <c r="PZ32" s="2"/>
      <c r="QA32" s="2"/>
      <c r="QB32" s="2"/>
      <c r="QC32" s="2"/>
      <c r="QD32" s="2"/>
      <c r="QE32" s="2"/>
      <c r="QF32" s="2"/>
      <c r="QG32" s="2"/>
      <c r="QH32" s="2"/>
      <c r="QI32" s="2"/>
      <c r="QJ32" s="2"/>
      <c r="QK32" s="2"/>
      <c r="QL32" s="2"/>
      <c r="QM32" s="2"/>
      <c r="QN32" s="2"/>
      <c r="QO32" s="2"/>
      <c r="QP32" s="2"/>
      <c r="QQ32" s="2"/>
      <c r="QR32" s="2"/>
      <c r="QS32" s="2"/>
      <c r="QT32" s="2"/>
      <c r="QU32" s="2"/>
      <c r="QV32" s="2"/>
      <c r="QW32" s="2"/>
      <c r="QX32" s="2"/>
      <c r="QY32" s="2"/>
      <c r="QZ32" s="2"/>
      <c r="RA32" s="2"/>
      <c r="RB32" s="2"/>
      <c r="RC32" s="2"/>
      <c r="RD32" s="2"/>
      <c r="RE32" s="2"/>
      <c r="RF32" s="2"/>
      <c r="RG32" s="2"/>
      <c r="RH32" s="2"/>
      <c r="RI32" s="2"/>
      <c r="RJ32" s="2"/>
      <c r="RK32" s="2"/>
      <c r="RL32" s="2"/>
      <c r="RM32" s="2"/>
      <c r="RN32" s="2"/>
      <c r="RO32" s="2"/>
      <c r="RP32" s="2"/>
      <c r="RQ32" s="2"/>
      <c r="RR32" s="2"/>
      <c r="RS32" s="2"/>
      <c r="RT32" s="2"/>
      <c r="RU32" s="2"/>
      <c r="RV32" s="2"/>
      <c r="RW32" s="2"/>
      <c r="RX32" s="2"/>
      <c r="RY32" s="2"/>
      <c r="RZ32" s="2"/>
      <c r="SA32" s="2"/>
      <c r="SB32" s="2"/>
      <c r="SC32" s="2"/>
      <c r="SD32" s="2"/>
      <c r="SE32" s="2"/>
      <c r="SF32" s="2"/>
      <c r="SG32" s="2"/>
      <c r="SH32" s="2"/>
      <c r="SI32" s="2"/>
      <c r="SJ32" s="2"/>
      <c r="SK32" s="2"/>
      <c r="SL32" s="2"/>
      <c r="SM32" s="2"/>
      <c r="SN32" s="2"/>
      <c r="SO32" s="2"/>
      <c r="SP32" s="2"/>
      <c r="SQ32" s="2"/>
      <c r="SR32" s="2"/>
      <c r="SS32" s="2"/>
      <c r="ST32" s="2"/>
      <c r="SU32" s="2"/>
      <c r="SV32" s="2"/>
      <c r="SW32" s="2"/>
      <c r="SX32" s="2"/>
      <c r="SY32" s="2"/>
      <c r="SZ32" s="2"/>
      <c r="TA32" s="2"/>
      <c r="TB32" s="2"/>
      <c r="TC32" s="2"/>
      <c r="TD32" s="2"/>
      <c r="TE32" s="2"/>
      <c r="TF32" s="2"/>
      <c r="TG32" s="2"/>
      <c r="TH32" s="2"/>
      <c r="TI32" s="2"/>
      <c r="TJ32" s="2"/>
      <c r="TK32" s="2"/>
      <c r="TL32" s="2"/>
      <c r="TM32" s="2"/>
      <c r="TN32" s="2"/>
      <c r="TO32" s="2"/>
      <c r="TP32" s="2"/>
      <c r="TQ32" s="2"/>
      <c r="TR32" s="2"/>
      <c r="TS32" s="2"/>
      <c r="TT32" s="2"/>
      <c r="TU32" s="2"/>
      <c r="TV32" s="2"/>
      <c r="TW32" s="2"/>
      <c r="TX32" s="2"/>
      <c r="TY32" s="2"/>
      <c r="TZ32" s="2"/>
      <c r="UA32" s="2"/>
      <c r="UB32" s="2"/>
      <c r="UC32" s="2"/>
      <c r="UD32" s="2"/>
      <c r="UE32" s="2"/>
      <c r="UF32" s="2"/>
      <c r="UG32" s="2"/>
      <c r="UH32" s="2"/>
      <c r="UI32" s="2"/>
      <c r="UJ32" s="2"/>
      <c r="UK32" s="2"/>
      <c r="UL32" s="2"/>
      <c r="UM32" s="2"/>
      <c r="UN32" s="2"/>
      <c r="UO32" s="2"/>
      <c r="UP32" s="2"/>
      <c r="UQ32" s="2"/>
      <c r="UR32" s="2"/>
      <c r="US32" s="2"/>
      <c r="UT32" s="2"/>
      <c r="UU32" s="2"/>
      <c r="UV32" s="2"/>
      <c r="UW32" s="2"/>
      <c r="UX32" s="2"/>
      <c r="UY32" s="2"/>
      <c r="UZ32" s="2"/>
      <c r="VA32" s="2"/>
      <c r="VB32" s="2"/>
      <c r="VC32" s="2"/>
      <c r="VD32" s="2"/>
      <c r="VE32" s="2"/>
      <c r="VF32" s="2"/>
      <c r="VG32" s="2"/>
      <c r="VH32" s="2"/>
      <c r="VI32" s="2"/>
      <c r="VJ32" s="2"/>
      <c r="VK32" s="2"/>
      <c r="VL32" s="2"/>
      <c r="VM32" s="2"/>
      <c r="VN32" s="2"/>
      <c r="VO32" s="2"/>
      <c r="VP32" s="2"/>
      <c r="VQ32" s="2"/>
      <c r="VR32" s="2"/>
      <c r="VS32" s="2"/>
      <c r="VT32" s="2"/>
      <c r="VU32" s="2"/>
      <c r="VV32" s="2"/>
      <c r="VW32" s="2"/>
      <c r="VX32" s="2"/>
      <c r="VY32" s="2"/>
      <c r="VZ32" s="2"/>
      <c r="WA32" s="2"/>
      <c r="WB32" s="2"/>
      <c r="WC32" s="2"/>
      <c r="WD32" s="2"/>
      <c r="WE32" s="2"/>
      <c r="WF32" s="2"/>
      <c r="WG32" s="2"/>
      <c r="WH32" s="2"/>
      <c r="WI32" s="2"/>
      <c r="WJ32" s="2"/>
      <c r="WK32" s="2"/>
      <c r="WL32" s="2"/>
      <c r="WM32" s="2"/>
      <c r="WN32" s="2"/>
      <c r="WO32" s="2"/>
      <c r="WP32" s="2"/>
      <c r="WQ32" s="2"/>
      <c r="WR32" s="2"/>
      <c r="WS32" s="2"/>
      <c r="WT32" s="2"/>
      <c r="WU32" s="2"/>
      <c r="WV32" s="2"/>
      <c r="WW32" s="2"/>
      <c r="WX32" s="2"/>
      <c r="WY32" s="2"/>
      <c r="WZ32" s="2"/>
      <c r="XA32" s="2"/>
      <c r="XB32" s="2"/>
      <c r="XC32" s="2"/>
      <c r="XD32" s="2"/>
      <c r="XE32" s="2"/>
      <c r="XF32" s="2"/>
      <c r="XG32" s="2"/>
      <c r="XH32" s="2"/>
      <c r="XI32" s="2"/>
      <c r="XJ32" s="2"/>
      <c r="XK32" s="2"/>
      <c r="XL32" s="2"/>
      <c r="XM32" s="2"/>
      <c r="XN32" s="2"/>
      <c r="XO32" s="2"/>
      <c r="XP32" s="2"/>
      <c r="XQ32" s="2"/>
      <c r="XR32" s="2"/>
      <c r="XS32" s="2"/>
      <c r="XT32" s="2"/>
      <c r="XU32" s="2"/>
      <c r="XV32" s="2"/>
      <c r="XW32" s="2"/>
      <c r="XX32" s="2"/>
      <c r="XY32" s="2"/>
      <c r="XZ32" s="2"/>
      <c r="YA32" s="2"/>
      <c r="YB32" s="2"/>
      <c r="YC32" s="2"/>
      <c r="YD32" s="2"/>
      <c r="YE32" s="2"/>
      <c r="YF32" s="2"/>
      <c r="YG32" s="2"/>
      <c r="YH32" s="2"/>
      <c r="YI32" s="2"/>
      <c r="YJ32" s="2"/>
      <c r="YK32" s="2"/>
      <c r="YL32" s="2"/>
      <c r="YM32" s="2"/>
      <c r="YN32" s="2"/>
      <c r="YO32" s="2"/>
      <c r="YP32" s="2"/>
      <c r="YQ32" s="2"/>
      <c r="YR32" s="2"/>
      <c r="YS32" s="2"/>
      <c r="YT32" s="2"/>
      <c r="YU32" s="2"/>
      <c r="YV32" s="2"/>
      <c r="YW32" s="2"/>
      <c r="YX32" s="2"/>
      <c r="YY32" s="2"/>
      <c r="YZ32" s="2"/>
      <c r="ZA32" s="2"/>
      <c r="ZB32" s="2"/>
      <c r="ZC32" s="2"/>
      <c r="ZD32" s="2"/>
      <c r="ZE32" s="2"/>
      <c r="ZF32" s="2"/>
      <c r="ZG32" s="2"/>
      <c r="ZH32" s="2"/>
      <c r="ZI32" s="2"/>
      <c r="ZJ32" s="2"/>
      <c r="ZK32" s="2"/>
      <c r="ZL32" s="2"/>
      <c r="ZM32" s="2"/>
      <c r="ZN32" s="2"/>
      <c r="ZO32" s="2"/>
      <c r="ZP32" s="2"/>
      <c r="ZQ32" s="2"/>
      <c r="ZR32" s="2"/>
      <c r="ZS32" s="2"/>
      <c r="ZT32" s="2"/>
      <c r="ZU32" s="2"/>
      <c r="ZV32" s="2"/>
      <c r="ZW32" s="2"/>
      <c r="ZX32" s="2"/>
      <c r="ZY32" s="2"/>
      <c r="ZZ32" s="2"/>
      <c r="AAA32" s="2"/>
      <c r="AAB32" s="2"/>
      <c r="AAC32" s="2"/>
      <c r="AAD32" s="2"/>
      <c r="AAE32" s="2"/>
      <c r="AAF32" s="2"/>
      <c r="AAG32" s="2"/>
      <c r="AAH32" s="2"/>
      <c r="AAI32" s="2"/>
      <c r="AAJ32" s="2"/>
      <c r="AAK32" s="2"/>
      <c r="AAL32" s="2"/>
      <c r="AAM32" s="2"/>
      <c r="AAN32" s="2"/>
      <c r="AAO32" s="2"/>
      <c r="AAP32" s="2"/>
      <c r="AAQ32" s="2"/>
      <c r="AAR32" s="2"/>
      <c r="AAS32" s="2"/>
      <c r="AAT32" s="2"/>
      <c r="AAU32" s="2"/>
      <c r="AAV32" s="2"/>
      <c r="AAW32" s="2"/>
      <c r="AAX32" s="2"/>
      <c r="AAY32" s="2"/>
      <c r="AAZ32" s="2"/>
      <c r="ABA32" s="2"/>
      <c r="ABB32" s="2"/>
      <c r="ABC32" s="2"/>
      <c r="ABD32" s="2"/>
      <c r="ABE32" s="2"/>
      <c r="ABF32" s="2"/>
      <c r="ABG32" s="2"/>
      <c r="ABH32" s="2"/>
      <c r="ABI32" s="2"/>
      <c r="ABJ32" s="2"/>
      <c r="ABK32" s="2"/>
      <c r="ABL32" s="2"/>
      <c r="ABM32" s="2"/>
      <c r="ABN32" s="2"/>
      <c r="ABO32" s="2"/>
      <c r="ABP32" s="2"/>
      <c r="ABQ32" s="2"/>
      <c r="ABR32" s="2"/>
      <c r="ABS32" s="2"/>
      <c r="ABT32" s="2"/>
      <c r="ABU32" s="2"/>
      <c r="ABV32" s="2"/>
      <c r="ABW32" s="2"/>
      <c r="ABX32" s="2"/>
      <c r="ABY32" s="2"/>
      <c r="ABZ32" s="2"/>
      <c r="ACA32" s="2"/>
      <c r="ACB32" s="2"/>
      <c r="ACC32" s="2"/>
      <c r="ACD32" s="2"/>
      <c r="ACE32" s="2"/>
      <c r="ACF32" s="2"/>
      <c r="ACG32" s="2"/>
      <c r="ACH32" s="2"/>
      <c r="ACI32" s="2"/>
      <c r="ACJ32" s="2"/>
      <c r="ACK32" s="2"/>
      <c r="ACL32" s="2"/>
      <c r="ACM32" s="2"/>
      <c r="ACN32" s="2"/>
      <c r="ACO32" s="2"/>
      <c r="ACP32" s="2"/>
      <c r="ACQ32" s="2"/>
      <c r="ACR32" s="2"/>
      <c r="ACS32" s="2"/>
      <c r="ACT32" s="2"/>
      <c r="ACU32" s="2"/>
      <c r="ACV32" s="2"/>
      <c r="ACW32" s="2"/>
      <c r="ACX32" s="2"/>
      <c r="ACY32" s="2"/>
      <c r="ACZ32" s="2"/>
      <c r="ADA32" s="2"/>
      <c r="ADB32" s="2"/>
      <c r="ADC32" s="2"/>
      <c r="ADD32" s="2"/>
      <c r="ADE32" s="2"/>
      <c r="ADF32" s="2"/>
      <c r="ADG32" s="2"/>
      <c r="ADH32" s="2"/>
      <c r="ADI32" s="2"/>
      <c r="ADJ32" s="2"/>
      <c r="ADK32" s="2"/>
      <c r="ADL32" s="2"/>
      <c r="ADM32" s="2"/>
      <c r="ADN32" s="2"/>
      <c r="ADO32" s="2"/>
      <c r="ADP32" s="2"/>
      <c r="ADQ32" s="2"/>
      <c r="ADR32" s="2"/>
      <c r="ADS32" s="2"/>
      <c r="ADT32" s="2"/>
      <c r="ADU32" s="2"/>
      <c r="ADV32" s="2"/>
      <c r="ADW32" s="2"/>
      <c r="ADX32" s="2"/>
      <c r="ADY32" s="2"/>
      <c r="ADZ32" s="2"/>
      <c r="AEA32" s="2"/>
      <c r="AEB32" s="2"/>
      <c r="AEC32" s="2"/>
      <c r="AED32" s="2"/>
      <c r="AEE32" s="2"/>
      <c r="AEF32" s="2"/>
      <c r="AEG32" s="2"/>
      <c r="AEH32" s="2"/>
      <c r="AEI32" s="2"/>
      <c r="AEJ32" s="2"/>
      <c r="AEK32" s="2"/>
      <c r="AEL32" s="2"/>
      <c r="AEM32" s="2"/>
      <c r="AEN32" s="2"/>
      <c r="AEO32" s="2"/>
      <c r="AEP32" s="2"/>
      <c r="AEQ32" s="2"/>
      <c r="AER32" s="2"/>
      <c r="AES32" s="2"/>
      <c r="AET32" s="2"/>
      <c r="AEU32" s="2"/>
      <c r="AEV32" s="2"/>
      <c r="AEW32" s="2"/>
      <c r="AEX32" s="2"/>
      <c r="AEY32" s="2"/>
      <c r="AEZ32" s="2"/>
      <c r="AFA32" s="2"/>
      <c r="AFB32" s="2"/>
      <c r="AFC32" s="2"/>
      <c r="AFD32" s="2"/>
      <c r="AFE32" s="2"/>
      <c r="AFF32" s="2"/>
      <c r="AFG32" s="2"/>
      <c r="AFH32" s="2"/>
      <c r="AFI32" s="2"/>
      <c r="AFJ32" s="2"/>
      <c r="AFK32" s="2"/>
      <c r="AFL32" s="2"/>
      <c r="AFM32" s="2"/>
      <c r="AFN32" s="2"/>
      <c r="AFO32" s="2"/>
      <c r="AFP32" s="2"/>
      <c r="AFQ32" s="2"/>
      <c r="AFR32" s="2"/>
      <c r="AFS32" s="2"/>
      <c r="AFT32" s="2"/>
      <c r="AFU32" s="2"/>
      <c r="AFV32" s="2"/>
      <c r="AFW32" s="2"/>
      <c r="AFX32" s="2"/>
      <c r="AFY32" s="2"/>
      <c r="AFZ32" s="2"/>
      <c r="AGA32" s="2"/>
      <c r="AGB32" s="2"/>
      <c r="AGC32" s="2"/>
      <c r="AGD32" s="2"/>
      <c r="AGE32" s="2"/>
      <c r="AGF32" s="2"/>
      <c r="AGG32" s="2"/>
      <c r="AGH32" s="2"/>
      <c r="AGI32" s="2"/>
      <c r="AGJ32" s="2"/>
      <c r="AGK32" s="2"/>
      <c r="AGL32" s="2"/>
      <c r="AGM32" s="2"/>
      <c r="AGN32" s="2"/>
      <c r="AGO32" s="2"/>
      <c r="AGP32" s="2"/>
      <c r="AGQ32" s="2"/>
      <c r="AGR32" s="2"/>
      <c r="AGS32" s="2"/>
      <c r="AGT32" s="2"/>
      <c r="AGU32" s="2"/>
      <c r="AGV32" s="2"/>
      <c r="AGW32" s="2"/>
      <c r="AGX32" s="2"/>
      <c r="AGY32" s="2"/>
      <c r="AGZ32" s="2"/>
      <c r="AHA32" s="2"/>
      <c r="AHB32" s="2"/>
      <c r="AHC32" s="2"/>
      <c r="AHD32" s="2"/>
      <c r="AHE32" s="2"/>
      <c r="AHF32" s="2"/>
      <c r="AHG32" s="2"/>
      <c r="AHH32" s="2"/>
      <c r="AHI32" s="2"/>
      <c r="AHJ32" s="2"/>
      <c r="AHK32" s="2"/>
      <c r="AHL32" s="2"/>
      <c r="AHM32" s="2"/>
      <c r="AHN32" s="2"/>
      <c r="AHO32" s="2"/>
      <c r="AHP32" s="2"/>
      <c r="AHQ32" s="2"/>
      <c r="AHR32" s="2"/>
      <c r="AHS32" s="2"/>
      <c r="AHT32" s="2"/>
      <c r="AHU32" s="2"/>
      <c r="AHV32" s="2"/>
      <c r="AHW32" s="2"/>
      <c r="AHX32" s="2"/>
      <c r="AHY32" s="2"/>
      <c r="AHZ32" s="2"/>
      <c r="AIA32" s="2"/>
      <c r="AIB32" s="2"/>
      <c r="AIC32" s="2"/>
      <c r="AID32" s="2"/>
      <c r="AIE32" s="2"/>
      <c r="AIF32" s="2"/>
      <c r="AIG32" s="2"/>
      <c r="AIH32" s="2"/>
      <c r="AII32" s="2"/>
      <c r="AIJ32" s="2"/>
      <c r="AIK32" s="2"/>
      <c r="AIL32" s="2"/>
      <c r="AIM32" s="2"/>
      <c r="AIN32" s="2"/>
      <c r="AIO32" s="2"/>
      <c r="AIP32" s="2"/>
      <c r="AIQ32" s="2"/>
      <c r="AIR32" s="2"/>
      <c r="AIS32" s="2"/>
      <c r="AIT32" s="2"/>
      <c r="AIU32" s="2"/>
      <c r="AIV32" s="2"/>
      <c r="AIW32" s="2"/>
      <c r="AIX32" s="2"/>
      <c r="AIY32" s="2"/>
      <c r="AIZ32" s="2"/>
      <c r="AJA32" s="2"/>
      <c r="AJB32" s="2"/>
      <c r="AJC32" s="2"/>
      <c r="AJD32" s="2"/>
      <c r="AJE32" s="2"/>
      <c r="AJF32" s="2"/>
      <c r="AJG32" s="2"/>
      <c r="AJH32" s="2"/>
      <c r="AJI32" s="2"/>
      <c r="AJJ32" s="2"/>
      <c r="AJK32" s="2"/>
      <c r="AJL32" s="2"/>
      <c r="AJM32" s="2"/>
      <c r="AJN32" s="2"/>
      <c r="AJO32" s="2"/>
      <c r="AJP32" s="2"/>
      <c r="AJQ32" s="2"/>
      <c r="AJR32" s="2"/>
      <c r="AJS32" s="2"/>
      <c r="AJT32" s="2"/>
      <c r="AJU32" s="2"/>
      <c r="AJV32" s="2"/>
      <c r="AJW32" s="2"/>
      <c r="AJX32" s="2"/>
      <c r="AJY32" s="2"/>
      <c r="AJZ32" s="2"/>
      <c r="AKA32" s="2"/>
      <c r="AKB32" s="2"/>
      <c r="AKC32" s="2"/>
      <c r="AKD32" s="2"/>
      <c r="AKE32" s="2"/>
      <c r="AKF32" s="2"/>
      <c r="AKG32" s="2"/>
      <c r="AKH32" s="2"/>
      <c r="AKI32" s="2"/>
      <c r="AKJ32" s="2"/>
      <c r="AKK32" s="2"/>
      <c r="AKL32" s="2"/>
      <c r="AKM32" s="2"/>
      <c r="AKN32" s="2"/>
      <c r="AKO32" s="2"/>
      <c r="AKP32" s="2"/>
      <c r="AKQ32" s="2"/>
      <c r="AKR32" s="2"/>
      <c r="AKS32" s="2"/>
      <c r="AKT32" s="2"/>
      <c r="AKU32" s="2"/>
      <c r="AKV32" s="2"/>
      <c r="AKW32" s="2"/>
      <c r="AKX32" s="2"/>
      <c r="AKY32" s="2"/>
      <c r="AKZ32" s="2"/>
      <c r="ALA32" s="2"/>
      <c r="ALB32" s="2"/>
      <c r="ALC32" s="2"/>
      <c r="ALD32" s="2"/>
      <c r="ALE32" s="2"/>
      <c r="ALF32" s="2"/>
      <c r="ALG32" s="2"/>
      <c r="ALH32" s="2"/>
      <c r="ALI32" s="2"/>
      <c r="ALJ32" s="2"/>
      <c r="ALK32" s="2"/>
      <c r="ALL32" s="2"/>
      <c r="ALM32" s="2"/>
      <c r="ALN32" s="2"/>
      <c r="ALO32" s="2"/>
      <c r="ALP32" s="2"/>
      <c r="ALQ32" s="2"/>
      <c r="ALR32" s="2"/>
      <c r="ALS32" s="2"/>
      <c r="ALT32" s="2"/>
      <c r="ALU32" s="2"/>
      <c r="ALV32" s="2"/>
      <c r="ALW32" s="2"/>
      <c r="ALX32" s="2"/>
      <c r="ALY32" s="2"/>
      <c r="ALZ32" s="2"/>
      <c r="AMA32" s="2"/>
      <c r="AMB32" s="2"/>
      <c r="AMC32" s="2"/>
      <c r="AMD32" s="2"/>
      <c r="AME32" s="2"/>
      <c r="AMF32" s="2"/>
      <c r="AMG32" s="2"/>
      <c r="AMH32" s="2"/>
      <c r="AMI32" s="2"/>
      <c r="AMJ32" s="2"/>
    </row>
    <row r="33" customFormat="1" ht="17" spans="1:1024">
      <c r="A33" s="10">
        <v>45789</v>
      </c>
      <c r="B33" s="10" t="s">
        <v>49</v>
      </c>
      <c r="C33" s="10" t="s">
        <v>142</v>
      </c>
      <c r="D33" s="12" t="s">
        <v>143</v>
      </c>
      <c r="E33" s="11" t="s">
        <v>126</v>
      </c>
      <c r="F33" s="11" t="s">
        <v>133</v>
      </c>
      <c r="G33" s="11" t="s">
        <v>134</v>
      </c>
      <c r="H33" s="11"/>
      <c r="I33" s="11" t="s">
        <v>144</v>
      </c>
      <c r="J33" s="11"/>
      <c r="K33" s="18" t="s">
        <v>145</v>
      </c>
      <c r="L33" s="12"/>
      <c r="M33" s="11"/>
      <c r="N33" s="24">
        <f>220/20</f>
        <v>11</v>
      </c>
      <c r="O33" s="26" t="s">
        <v>137</v>
      </c>
      <c r="P33" s="11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  <c r="CF33" s="2"/>
      <c r="CG33" s="2"/>
      <c r="CH33" s="2"/>
      <c r="CI33" s="2"/>
      <c r="CJ33" s="2"/>
      <c r="CK33" s="2"/>
      <c r="CL33" s="2"/>
      <c r="CM33" s="2"/>
      <c r="CN33" s="2"/>
      <c r="CO33" s="2"/>
      <c r="CP33" s="2"/>
      <c r="CQ33" s="2"/>
      <c r="CR33" s="2"/>
      <c r="CS33" s="2"/>
      <c r="CT33" s="2"/>
      <c r="CU33" s="2"/>
      <c r="CV33" s="2"/>
      <c r="CW33" s="2"/>
      <c r="CX33" s="2"/>
      <c r="CY33" s="2"/>
      <c r="CZ33" s="2"/>
      <c r="DA33" s="2"/>
      <c r="DB33" s="2"/>
      <c r="DC33" s="2"/>
      <c r="DD33" s="2"/>
      <c r="DE33" s="2"/>
      <c r="DF33" s="2"/>
      <c r="DG33" s="2"/>
      <c r="DH33" s="2"/>
      <c r="DI33" s="2"/>
      <c r="DJ33" s="2"/>
      <c r="DK33" s="2"/>
      <c r="DL33" s="2"/>
      <c r="DM33" s="2"/>
      <c r="DN33" s="2"/>
      <c r="DO33" s="2"/>
      <c r="DP33" s="2"/>
      <c r="DQ33" s="2"/>
      <c r="DR33" s="2"/>
      <c r="DS33" s="2"/>
      <c r="DT33" s="2"/>
      <c r="DU33" s="2"/>
      <c r="DV33" s="2"/>
      <c r="DW33" s="2"/>
      <c r="DX33" s="2"/>
      <c r="DY33" s="2"/>
      <c r="DZ33" s="2"/>
      <c r="EA33" s="2"/>
      <c r="EB33" s="2"/>
      <c r="EC33" s="2"/>
      <c r="ED33" s="2"/>
      <c r="EE33" s="2"/>
      <c r="EF33" s="2"/>
      <c r="EG33" s="2"/>
      <c r="EH33" s="2"/>
      <c r="EI33" s="2"/>
      <c r="EJ33" s="2"/>
      <c r="EK33" s="2"/>
      <c r="EL33" s="2"/>
      <c r="EM33" s="2"/>
      <c r="EN33" s="2"/>
      <c r="EO33" s="2"/>
      <c r="EP33" s="2"/>
      <c r="EQ33" s="2"/>
      <c r="ER33" s="2"/>
      <c r="ES33" s="2"/>
      <c r="ET33" s="2"/>
      <c r="EU33" s="2"/>
      <c r="EV33" s="2"/>
      <c r="EW33" s="2"/>
      <c r="EX33" s="2"/>
      <c r="EY33" s="2"/>
      <c r="EZ33" s="2"/>
      <c r="FA33" s="2"/>
      <c r="FB33" s="2"/>
      <c r="FC33" s="2"/>
      <c r="FD33" s="2"/>
      <c r="FE33" s="2"/>
      <c r="FF33" s="2"/>
      <c r="FG33" s="2"/>
      <c r="FH33" s="2"/>
      <c r="FI33" s="2"/>
      <c r="FJ33" s="2"/>
      <c r="FK33" s="2"/>
      <c r="FL33" s="2"/>
      <c r="FM33" s="2"/>
      <c r="FN33" s="2"/>
      <c r="FO33" s="2"/>
      <c r="FP33" s="2"/>
      <c r="FQ33" s="2"/>
      <c r="FR33" s="2"/>
      <c r="FS33" s="2"/>
      <c r="FT33" s="2"/>
      <c r="FU33" s="2"/>
      <c r="FV33" s="2"/>
      <c r="FW33" s="2"/>
      <c r="FX33" s="2"/>
      <c r="FY33" s="2"/>
      <c r="FZ33" s="2"/>
      <c r="GA33" s="2"/>
      <c r="GB33" s="2"/>
      <c r="GC33" s="2"/>
      <c r="GD33" s="2"/>
      <c r="GE33" s="2"/>
      <c r="GF33" s="2"/>
      <c r="GG33" s="2"/>
      <c r="GH33" s="2"/>
      <c r="GI33" s="2"/>
      <c r="GJ33" s="2"/>
      <c r="GK33" s="2"/>
      <c r="GL33" s="2"/>
      <c r="GM33" s="2"/>
      <c r="GN33" s="2"/>
      <c r="GO33" s="2"/>
      <c r="GP33" s="2"/>
      <c r="GQ33" s="2"/>
      <c r="GR33" s="2"/>
      <c r="GS33" s="2"/>
      <c r="GT33" s="2"/>
      <c r="GU33" s="2"/>
      <c r="GV33" s="2"/>
      <c r="GW33" s="2"/>
      <c r="GX33" s="2"/>
      <c r="GY33" s="2"/>
      <c r="GZ33" s="2"/>
      <c r="HA33" s="2"/>
      <c r="HB33" s="2"/>
      <c r="HC33" s="2"/>
      <c r="HD33" s="2"/>
      <c r="HE33" s="2"/>
      <c r="HF33" s="2"/>
      <c r="HG33" s="2"/>
      <c r="HH33" s="2"/>
      <c r="HI33" s="2"/>
      <c r="HJ33" s="2"/>
      <c r="HK33" s="2"/>
      <c r="HL33" s="2"/>
      <c r="HM33" s="2"/>
      <c r="HN33" s="2"/>
      <c r="HO33" s="2"/>
      <c r="HP33" s="2"/>
      <c r="HQ33" s="2"/>
      <c r="HR33" s="2"/>
      <c r="HS33" s="2"/>
      <c r="HT33" s="2"/>
      <c r="HU33" s="2"/>
      <c r="HV33" s="2"/>
      <c r="HW33" s="2"/>
      <c r="HX33" s="2"/>
      <c r="HY33" s="2"/>
      <c r="HZ33" s="2"/>
      <c r="IA33" s="2"/>
      <c r="IB33" s="2"/>
      <c r="IC33" s="2"/>
      <c r="ID33" s="2"/>
      <c r="IE33" s="2"/>
      <c r="IF33" s="2"/>
      <c r="IG33" s="2"/>
      <c r="IH33" s="2"/>
      <c r="II33" s="2"/>
      <c r="IJ33" s="2"/>
      <c r="IK33" s="2"/>
      <c r="IL33" s="2"/>
      <c r="IM33" s="2"/>
      <c r="IN33" s="2"/>
      <c r="IO33" s="2"/>
      <c r="IP33" s="2"/>
      <c r="IQ33" s="2"/>
      <c r="IR33" s="2"/>
      <c r="IS33" s="2"/>
      <c r="IT33" s="2"/>
      <c r="IU33" s="2"/>
      <c r="IV33" s="2"/>
      <c r="IW33" s="2"/>
      <c r="IX33" s="2"/>
      <c r="IY33" s="2"/>
      <c r="IZ33" s="2"/>
      <c r="JA33" s="2"/>
      <c r="JB33" s="2"/>
      <c r="JC33" s="2"/>
      <c r="JD33" s="2"/>
      <c r="JE33" s="2"/>
      <c r="JF33" s="2"/>
      <c r="JG33" s="2"/>
      <c r="JH33" s="2"/>
      <c r="JI33" s="2"/>
      <c r="JJ33" s="2"/>
      <c r="JK33" s="2"/>
      <c r="JL33" s="2"/>
      <c r="JM33" s="2"/>
      <c r="JN33" s="2"/>
      <c r="JO33" s="2"/>
      <c r="JP33" s="2"/>
      <c r="JQ33" s="2"/>
      <c r="JR33" s="2"/>
      <c r="JS33" s="2"/>
      <c r="JT33" s="2"/>
      <c r="JU33" s="2"/>
      <c r="JV33" s="2"/>
      <c r="JW33" s="2"/>
      <c r="JX33" s="2"/>
      <c r="JY33" s="2"/>
      <c r="JZ33" s="2"/>
      <c r="KA33" s="2"/>
      <c r="KB33" s="2"/>
      <c r="KC33" s="2"/>
      <c r="KD33" s="2"/>
      <c r="KE33" s="2"/>
      <c r="KF33" s="2"/>
      <c r="KG33" s="2"/>
      <c r="KH33" s="2"/>
      <c r="KI33" s="2"/>
      <c r="KJ33" s="2"/>
      <c r="KK33" s="2"/>
      <c r="KL33" s="2"/>
      <c r="KM33" s="2"/>
      <c r="KN33" s="2"/>
      <c r="KO33" s="2"/>
      <c r="KP33" s="2"/>
      <c r="KQ33" s="2"/>
      <c r="KR33" s="2"/>
      <c r="KS33" s="2"/>
      <c r="KT33" s="2"/>
      <c r="KU33" s="2"/>
      <c r="KV33" s="2"/>
      <c r="KW33" s="2"/>
      <c r="KX33" s="2"/>
      <c r="KY33" s="2"/>
      <c r="KZ33" s="2"/>
      <c r="LA33" s="2"/>
      <c r="LB33" s="2"/>
      <c r="LC33" s="2"/>
      <c r="LD33" s="2"/>
      <c r="LE33" s="2"/>
      <c r="LF33" s="2"/>
      <c r="LG33" s="2"/>
      <c r="LH33" s="2"/>
      <c r="LI33" s="2"/>
      <c r="LJ33" s="2"/>
      <c r="LK33" s="2"/>
      <c r="LL33" s="2"/>
      <c r="LM33" s="2"/>
      <c r="LN33" s="2"/>
      <c r="LO33" s="2"/>
      <c r="LP33" s="2"/>
      <c r="LQ33" s="2"/>
      <c r="LR33" s="2"/>
      <c r="LS33" s="2"/>
      <c r="LT33" s="2"/>
      <c r="LU33" s="2"/>
      <c r="LV33" s="2"/>
      <c r="LW33" s="2"/>
      <c r="LX33" s="2"/>
      <c r="LY33" s="2"/>
      <c r="LZ33" s="2"/>
      <c r="MA33" s="2"/>
      <c r="MB33" s="2"/>
      <c r="MC33" s="2"/>
      <c r="MD33" s="2"/>
      <c r="ME33" s="2"/>
      <c r="MF33" s="2"/>
      <c r="MG33" s="2"/>
      <c r="MH33" s="2"/>
      <c r="MI33" s="2"/>
      <c r="MJ33" s="2"/>
      <c r="MK33" s="2"/>
      <c r="ML33" s="2"/>
      <c r="MM33" s="2"/>
      <c r="MN33" s="2"/>
      <c r="MO33" s="2"/>
      <c r="MP33" s="2"/>
      <c r="MQ33" s="2"/>
      <c r="MR33" s="2"/>
      <c r="MS33" s="2"/>
      <c r="MT33" s="2"/>
      <c r="MU33" s="2"/>
      <c r="MV33" s="2"/>
      <c r="MW33" s="2"/>
      <c r="MX33" s="2"/>
      <c r="MY33" s="2"/>
      <c r="MZ33" s="2"/>
      <c r="NA33" s="2"/>
      <c r="NB33" s="2"/>
      <c r="NC33" s="2"/>
      <c r="ND33" s="2"/>
      <c r="NE33" s="2"/>
      <c r="NF33" s="2"/>
      <c r="NG33" s="2"/>
      <c r="NH33" s="2"/>
      <c r="NI33" s="2"/>
      <c r="NJ33" s="2"/>
      <c r="NK33" s="2"/>
      <c r="NL33" s="2"/>
      <c r="NM33" s="2"/>
      <c r="NN33" s="2"/>
      <c r="NO33" s="2"/>
      <c r="NP33" s="2"/>
      <c r="NQ33" s="2"/>
      <c r="NR33" s="2"/>
      <c r="NS33" s="2"/>
      <c r="NT33" s="2"/>
      <c r="NU33" s="2"/>
      <c r="NV33" s="2"/>
      <c r="NW33" s="2"/>
      <c r="NX33" s="2"/>
      <c r="NY33" s="2"/>
      <c r="NZ33" s="2"/>
      <c r="OA33" s="2"/>
      <c r="OB33" s="2"/>
      <c r="OC33" s="2"/>
      <c r="OD33" s="2"/>
      <c r="OE33" s="2"/>
      <c r="OF33" s="2"/>
      <c r="OG33" s="2"/>
      <c r="OH33" s="2"/>
      <c r="OI33" s="2"/>
      <c r="OJ33" s="2"/>
      <c r="OK33" s="2"/>
      <c r="OL33" s="2"/>
      <c r="OM33" s="2"/>
      <c r="ON33" s="2"/>
      <c r="OO33" s="2"/>
      <c r="OP33" s="2"/>
      <c r="OQ33" s="2"/>
      <c r="OR33" s="2"/>
      <c r="OS33" s="2"/>
      <c r="OT33" s="2"/>
      <c r="OU33" s="2"/>
      <c r="OV33" s="2"/>
      <c r="OW33" s="2"/>
      <c r="OX33" s="2"/>
      <c r="OY33" s="2"/>
      <c r="OZ33" s="2"/>
      <c r="PA33" s="2"/>
      <c r="PB33" s="2"/>
      <c r="PC33" s="2"/>
      <c r="PD33" s="2"/>
      <c r="PE33" s="2"/>
      <c r="PF33" s="2"/>
      <c r="PG33" s="2"/>
      <c r="PH33" s="2"/>
      <c r="PI33" s="2"/>
      <c r="PJ33" s="2"/>
      <c r="PK33" s="2"/>
      <c r="PL33" s="2"/>
      <c r="PM33" s="2"/>
      <c r="PN33" s="2"/>
      <c r="PO33" s="2"/>
      <c r="PP33" s="2"/>
      <c r="PQ33" s="2"/>
      <c r="PR33" s="2"/>
      <c r="PS33" s="2"/>
      <c r="PT33" s="2"/>
      <c r="PU33" s="2"/>
      <c r="PV33" s="2"/>
      <c r="PW33" s="2"/>
      <c r="PX33" s="2"/>
      <c r="PY33" s="2"/>
      <c r="PZ33" s="2"/>
      <c r="QA33" s="2"/>
      <c r="QB33" s="2"/>
      <c r="QC33" s="2"/>
      <c r="QD33" s="2"/>
      <c r="QE33" s="2"/>
      <c r="QF33" s="2"/>
      <c r="QG33" s="2"/>
      <c r="QH33" s="2"/>
      <c r="QI33" s="2"/>
      <c r="QJ33" s="2"/>
      <c r="QK33" s="2"/>
      <c r="QL33" s="2"/>
      <c r="QM33" s="2"/>
      <c r="QN33" s="2"/>
      <c r="QO33" s="2"/>
      <c r="QP33" s="2"/>
      <c r="QQ33" s="2"/>
      <c r="QR33" s="2"/>
      <c r="QS33" s="2"/>
      <c r="QT33" s="2"/>
      <c r="QU33" s="2"/>
      <c r="QV33" s="2"/>
      <c r="QW33" s="2"/>
      <c r="QX33" s="2"/>
      <c r="QY33" s="2"/>
      <c r="QZ33" s="2"/>
      <c r="RA33" s="2"/>
      <c r="RB33" s="2"/>
      <c r="RC33" s="2"/>
      <c r="RD33" s="2"/>
      <c r="RE33" s="2"/>
      <c r="RF33" s="2"/>
      <c r="RG33" s="2"/>
      <c r="RH33" s="2"/>
      <c r="RI33" s="2"/>
      <c r="RJ33" s="2"/>
      <c r="RK33" s="2"/>
      <c r="RL33" s="2"/>
      <c r="RM33" s="2"/>
      <c r="RN33" s="2"/>
      <c r="RO33" s="2"/>
      <c r="RP33" s="2"/>
      <c r="RQ33" s="2"/>
      <c r="RR33" s="2"/>
      <c r="RS33" s="2"/>
      <c r="RT33" s="2"/>
      <c r="RU33" s="2"/>
      <c r="RV33" s="2"/>
      <c r="RW33" s="2"/>
      <c r="RX33" s="2"/>
      <c r="RY33" s="2"/>
      <c r="RZ33" s="2"/>
      <c r="SA33" s="2"/>
      <c r="SB33" s="2"/>
      <c r="SC33" s="2"/>
      <c r="SD33" s="2"/>
      <c r="SE33" s="2"/>
      <c r="SF33" s="2"/>
      <c r="SG33" s="2"/>
      <c r="SH33" s="2"/>
      <c r="SI33" s="2"/>
      <c r="SJ33" s="2"/>
      <c r="SK33" s="2"/>
      <c r="SL33" s="2"/>
      <c r="SM33" s="2"/>
      <c r="SN33" s="2"/>
      <c r="SO33" s="2"/>
      <c r="SP33" s="2"/>
      <c r="SQ33" s="2"/>
      <c r="SR33" s="2"/>
      <c r="SS33" s="2"/>
      <c r="ST33" s="2"/>
      <c r="SU33" s="2"/>
      <c r="SV33" s="2"/>
      <c r="SW33" s="2"/>
      <c r="SX33" s="2"/>
      <c r="SY33" s="2"/>
      <c r="SZ33" s="2"/>
      <c r="TA33" s="2"/>
      <c r="TB33" s="2"/>
      <c r="TC33" s="2"/>
      <c r="TD33" s="2"/>
      <c r="TE33" s="2"/>
      <c r="TF33" s="2"/>
      <c r="TG33" s="2"/>
      <c r="TH33" s="2"/>
      <c r="TI33" s="2"/>
      <c r="TJ33" s="2"/>
      <c r="TK33" s="2"/>
      <c r="TL33" s="2"/>
      <c r="TM33" s="2"/>
      <c r="TN33" s="2"/>
      <c r="TO33" s="2"/>
      <c r="TP33" s="2"/>
      <c r="TQ33" s="2"/>
      <c r="TR33" s="2"/>
      <c r="TS33" s="2"/>
      <c r="TT33" s="2"/>
      <c r="TU33" s="2"/>
      <c r="TV33" s="2"/>
      <c r="TW33" s="2"/>
      <c r="TX33" s="2"/>
      <c r="TY33" s="2"/>
      <c r="TZ33" s="2"/>
      <c r="UA33" s="2"/>
      <c r="UB33" s="2"/>
      <c r="UC33" s="2"/>
      <c r="UD33" s="2"/>
      <c r="UE33" s="2"/>
      <c r="UF33" s="2"/>
      <c r="UG33" s="2"/>
      <c r="UH33" s="2"/>
      <c r="UI33" s="2"/>
      <c r="UJ33" s="2"/>
      <c r="UK33" s="2"/>
      <c r="UL33" s="2"/>
      <c r="UM33" s="2"/>
      <c r="UN33" s="2"/>
      <c r="UO33" s="2"/>
      <c r="UP33" s="2"/>
      <c r="UQ33" s="2"/>
      <c r="UR33" s="2"/>
      <c r="US33" s="2"/>
      <c r="UT33" s="2"/>
      <c r="UU33" s="2"/>
      <c r="UV33" s="2"/>
      <c r="UW33" s="2"/>
      <c r="UX33" s="2"/>
      <c r="UY33" s="2"/>
      <c r="UZ33" s="2"/>
      <c r="VA33" s="2"/>
      <c r="VB33" s="2"/>
      <c r="VC33" s="2"/>
      <c r="VD33" s="2"/>
      <c r="VE33" s="2"/>
      <c r="VF33" s="2"/>
      <c r="VG33" s="2"/>
      <c r="VH33" s="2"/>
      <c r="VI33" s="2"/>
      <c r="VJ33" s="2"/>
      <c r="VK33" s="2"/>
      <c r="VL33" s="2"/>
      <c r="VM33" s="2"/>
      <c r="VN33" s="2"/>
      <c r="VO33" s="2"/>
      <c r="VP33" s="2"/>
      <c r="VQ33" s="2"/>
      <c r="VR33" s="2"/>
      <c r="VS33" s="2"/>
      <c r="VT33" s="2"/>
      <c r="VU33" s="2"/>
      <c r="VV33" s="2"/>
      <c r="VW33" s="2"/>
      <c r="VX33" s="2"/>
      <c r="VY33" s="2"/>
      <c r="VZ33" s="2"/>
      <c r="WA33" s="2"/>
      <c r="WB33" s="2"/>
      <c r="WC33" s="2"/>
      <c r="WD33" s="2"/>
      <c r="WE33" s="2"/>
      <c r="WF33" s="2"/>
      <c r="WG33" s="2"/>
      <c r="WH33" s="2"/>
      <c r="WI33" s="2"/>
      <c r="WJ33" s="2"/>
      <c r="WK33" s="2"/>
      <c r="WL33" s="2"/>
      <c r="WM33" s="2"/>
      <c r="WN33" s="2"/>
      <c r="WO33" s="2"/>
      <c r="WP33" s="2"/>
      <c r="WQ33" s="2"/>
      <c r="WR33" s="2"/>
      <c r="WS33" s="2"/>
      <c r="WT33" s="2"/>
      <c r="WU33" s="2"/>
      <c r="WV33" s="2"/>
      <c r="WW33" s="2"/>
      <c r="WX33" s="2"/>
      <c r="WY33" s="2"/>
      <c r="WZ33" s="2"/>
      <c r="XA33" s="2"/>
      <c r="XB33" s="2"/>
      <c r="XC33" s="2"/>
      <c r="XD33" s="2"/>
      <c r="XE33" s="2"/>
      <c r="XF33" s="2"/>
      <c r="XG33" s="2"/>
      <c r="XH33" s="2"/>
      <c r="XI33" s="2"/>
      <c r="XJ33" s="2"/>
      <c r="XK33" s="2"/>
      <c r="XL33" s="2"/>
      <c r="XM33" s="2"/>
      <c r="XN33" s="2"/>
      <c r="XO33" s="2"/>
      <c r="XP33" s="2"/>
      <c r="XQ33" s="2"/>
      <c r="XR33" s="2"/>
      <c r="XS33" s="2"/>
      <c r="XT33" s="2"/>
      <c r="XU33" s="2"/>
      <c r="XV33" s="2"/>
      <c r="XW33" s="2"/>
      <c r="XX33" s="2"/>
      <c r="XY33" s="2"/>
      <c r="XZ33" s="2"/>
      <c r="YA33" s="2"/>
      <c r="YB33" s="2"/>
      <c r="YC33" s="2"/>
      <c r="YD33" s="2"/>
      <c r="YE33" s="2"/>
      <c r="YF33" s="2"/>
      <c r="YG33" s="2"/>
      <c r="YH33" s="2"/>
      <c r="YI33" s="2"/>
      <c r="YJ33" s="2"/>
      <c r="YK33" s="2"/>
      <c r="YL33" s="2"/>
      <c r="YM33" s="2"/>
      <c r="YN33" s="2"/>
      <c r="YO33" s="2"/>
      <c r="YP33" s="2"/>
      <c r="YQ33" s="2"/>
      <c r="YR33" s="2"/>
      <c r="YS33" s="2"/>
      <c r="YT33" s="2"/>
      <c r="YU33" s="2"/>
      <c r="YV33" s="2"/>
      <c r="YW33" s="2"/>
      <c r="YX33" s="2"/>
      <c r="YY33" s="2"/>
      <c r="YZ33" s="2"/>
      <c r="ZA33" s="2"/>
      <c r="ZB33" s="2"/>
      <c r="ZC33" s="2"/>
      <c r="ZD33" s="2"/>
      <c r="ZE33" s="2"/>
      <c r="ZF33" s="2"/>
      <c r="ZG33" s="2"/>
      <c r="ZH33" s="2"/>
      <c r="ZI33" s="2"/>
      <c r="ZJ33" s="2"/>
      <c r="ZK33" s="2"/>
      <c r="ZL33" s="2"/>
      <c r="ZM33" s="2"/>
      <c r="ZN33" s="2"/>
      <c r="ZO33" s="2"/>
      <c r="ZP33" s="2"/>
      <c r="ZQ33" s="2"/>
      <c r="ZR33" s="2"/>
      <c r="ZS33" s="2"/>
      <c r="ZT33" s="2"/>
      <c r="ZU33" s="2"/>
      <c r="ZV33" s="2"/>
      <c r="ZW33" s="2"/>
      <c r="ZX33" s="2"/>
      <c r="ZY33" s="2"/>
      <c r="ZZ33" s="2"/>
      <c r="AAA33" s="2"/>
      <c r="AAB33" s="2"/>
      <c r="AAC33" s="2"/>
      <c r="AAD33" s="2"/>
      <c r="AAE33" s="2"/>
      <c r="AAF33" s="2"/>
      <c r="AAG33" s="2"/>
      <c r="AAH33" s="2"/>
      <c r="AAI33" s="2"/>
      <c r="AAJ33" s="2"/>
      <c r="AAK33" s="2"/>
      <c r="AAL33" s="2"/>
      <c r="AAM33" s="2"/>
      <c r="AAN33" s="2"/>
      <c r="AAO33" s="2"/>
      <c r="AAP33" s="2"/>
      <c r="AAQ33" s="2"/>
      <c r="AAR33" s="2"/>
      <c r="AAS33" s="2"/>
      <c r="AAT33" s="2"/>
      <c r="AAU33" s="2"/>
      <c r="AAV33" s="2"/>
      <c r="AAW33" s="2"/>
      <c r="AAX33" s="2"/>
      <c r="AAY33" s="2"/>
      <c r="AAZ33" s="2"/>
      <c r="ABA33" s="2"/>
      <c r="ABB33" s="2"/>
      <c r="ABC33" s="2"/>
      <c r="ABD33" s="2"/>
      <c r="ABE33" s="2"/>
      <c r="ABF33" s="2"/>
      <c r="ABG33" s="2"/>
      <c r="ABH33" s="2"/>
      <c r="ABI33" s="2"/>
      <c r="ABJ33" s="2"/>
      <c r="ABK33" s="2"/>
      <c r="ABL33" s="2"/>
      <c r="ABM33" s="2"/>
      <c r="ABN33" s="2"/>
      <c r="ABO33" s="2"/>
      <c r="ABP33" s="2"/>
      <c r="ABQ33" s="2"/>
      <c r="ABR33" s="2"/>
      <c r="ABS33" s="2"/>
      <c r="ABT33" s="2"/>
      <c r="ABU33" s="2"/>
      <c r="ABV33" s="2"/>
      <c r="ABW33" s="2"/>
      <c r="ABX33" s="2"/>
      <c r="ABY33" s="2"/>
      <c r="ABZ33" s="2"/>
      <c r="ACA33" s="2"/>
      <c r="ACB33" s="2"/>
      <c r="ACC33" s="2"/>
      <c r="ACD33" s="2"/>
      <c r="ACE33" s="2"/>
      <c r="ACF33" s="2"/>
      <c r="ACG33" s="2"/>
      <c r="ACH33" s="2"/>
      <c r="ACI33" s="2"/>
      <c r="ACJ33" s="2"/>
      <c r="ACK33" s="2"/>
      <c r="ACL33" s="2"/>
      <c r="ACM33" s="2"/>
      <c r="ACN33" s="2"/>
      <c r="ACO33" s="2"/>
      <c r="ACP33" s="2"/>
      <c r="ACQ33" s="2"/>
      <c r="ACR33" s="2"/>
      <c r="ACS33" s="2"/>
      <c r="ACT33" s="2"/>
      <c r="ACU33" s="2"/>
      <c r="ACV33" s="2"/>
      <c r="ACW33" s="2"/>
      <c r="ACX33" s="2"/>
      <c r="ACY33" s="2"/>
      <c r="ACZ33" s="2"/>
      <c r="ADA33" s="2"/>
      <c r="ADB33" s="2"/>
      <c r="ADC33" s="2"/>
      <c r="ADD33" s="2"/>
      <c r="ADE33" s="2"/>
      <c r="ADF33" s="2"/>
      <c r="ADG33" s="2"/>
      <c r="ADH33" s="2"/>
      <c r="ADI33" s="2"/>
      <c r="ADJ33" s="2"/>
      <c r="ADK33" s="2"/>
      <c r="ADL33" s="2"/>
      <c r="ADM33" s="2"/>
      <c r="ADN33" s="2"/>
      <c r="ADO33" s="2"/>
      <c r="ADP33" s="2"/>
      <c r="ADQ33" s="2"/>
      <c r="ADR33" s="2"/>
      <c r="ADS33" s="2"/>
      <c r="ADT33" s="2"/>
      <c r="ADU33" s="2"/>
      <c r="ADV33" s="2"/>
      <c r="ADW33" s="2"/>
      <c r="ADX33" s="2"/>
      <c r="ADY33" s="2"/>
      <c r="ADZ33" s="2"/>
      <c r="AEA33" s="2"/>
      <c r="AEB33" s="2"/>
      <c r="AEC33" s="2"/>
      <c r="AED33" s="2"/>
      <c r="AEE33" s="2"/>
      <c r="AEF33" s="2"/>
      <c r="AEG33" s="2"/>
      <c r="AEH33" s="2"/>
      <c r="AEI33" s="2"/>
      <c r="AEJ33" s="2"/>
      <c r="AEK33" s="2"/>
      <c r="AEL33" s="2"/>
      <c r="AEM33" s="2"/>
      <c r="AEN33" s="2"/>
      <c r="AEO33" s="2"/>
      <c r="AEP33" s="2"/>
      <c r="AEQ33" s="2"/>
      <c r="AER33" s="2"/>
      <c r="AES33" s="2"/>
      <c r="AET33" s="2"/>
      <c r="AEU33" s="2"/>
      <c r="AEV33" s="2"/>
      <c r="AEW33" s="2"/>
      <c r="AEX33" s="2"/>
      <c r="AEY33" s="2"/>
      <c r="AEZ33" s="2"/>
      <c r="AFA33" s="2"/>
      <c r="AFB33" s="2"/>
      <c r="AFC33" s="2"/>
      <c r="AFD33" s="2"/>
      <c r="AFE33" s="2"/>
      <c r="AFF33" s="2"/>
      <c r="AFG33" s="2"/>
      <c r="AFH33" s="2"/>
      <c r="AFI33" s="2"/>
      <c r="AFJ33" s="2"/>
      <c r="AFK33" s="2"/>
      <c r="AFL33" s="2"/>
      <c r="AFM33" s="2"/>
      <c r="AFN33" s="2"/>
      <c r="AFO33" s="2"/>
      <c r="AFP33" s="2"/>
      <c r="AFQ33" s="2"/>
      <c r="AFR33" s="2"/>
      <c r="AFS33" s="2"/>
      <c r="AFT33" s="2"/>
      <c r="AFU33" s="2"/>
      <c r="AFV33" s="2"/>
      <c r="AFW33" s="2"/>
      <c r="AFX33" s="2"/>
      <c r="AFY33" s="2"/>
      <c r="AFZ33" s="2"/>
      <c r="AGA33" s="2"/>
      <c r="AGB33" s="2"/>
      <c r="AGC33" s="2"/>
      <c r="AGD33" s="2"/>
      <c r="AGE33" s="2"/>
      <c r="AGF33" s="2"/>
      <c r="AGG33" s="2"/>
      <c r="AGH33" s="2"/>
      <c r="AGI33" s="2"/>
      <c r="AGJ33" s="2"/>
      <c r="AGK33" s="2"/>
      <c r="AGL33" s="2"/>
      <c r="AGM33" s="2"/>
      <c r="AGN33" s="2"/>
      <c r="AGO33" s="2"/>
      <c r="AGP33" s="2"/>
      <c r="AGQ33" s="2"/>
      <c r="AGR33" s="2"/>
      <c r="AGS33" s="2"/>
      <c r="AGT33" s="2"/>
      <c r="AGU33" s="2"/>
      <c r="AGV33" s="2"/>
      <c r="AGW33" s="2"/>
      <c r="AGX33" s="2"/>
      <c r="AGY33" s="2"/>
      <c r="AGZ33" s="2"/>
      <c r="AHA33" s="2"/>
      <c r="AHB33" s="2"/>
      <c r="AHC33" s="2"/>
      <c r="AHD33" s="2"/>
      <c r="AHE33" s="2"/>
      <c r="AHF33" s="2"/>
      <c r="AHG33" s="2"/>
      <c r="AHH33" s="2"/>
      <c r="AHI33" s="2"/>
      <c r="AHJ33" s="2"/>
      <c r="AHK33" s="2"/>
      <c r="AHL33" s="2"/>
      <c r="AHM33" s="2"/>
      <c r="AHN33" s="2"/>
      <c r="AHO33" s="2"/>
      <c r="AHP33" s="2"/>
      <c r="AHQ33" s="2"/>
      <c r="AHR33" s="2"/>
      <c r="AHS33" s="2"/>
      <c r="AHT33" s="2"/>
      <c r="AHU33" s="2"/>
      <c r="AHV33" s="2"/>
      <c r="AHW33" s="2"/>
      <c r="AHX33" s="2"/>
      <c r="AHY33" s="2"/>
      <c r="AHZ33" s="2"/>
      <c r="AIA33" s="2"/>
      <c r="AIB33" s="2"/>
      <c r="AIC33" s="2"/>
      <c r="AID33" s="2"/>
      <c r="AIE33" s="2"/>
      <c r="AIF33" s="2"/>
      <c r="AIG33" s="2"/>
      <c r="AIH33" s="2"/>
      <c r="AII33" s="2"/>
      <c r="AIJ33" s="2"/>
      <c r="AIK33" s="2"/>
      <c r="AIL33" s="2"/>
      <c r="AIM33" s="2"/>
      <c r="AIN33" s="2"/>
      <c r="AIO33" s="2"/>
      <c r="AIP33" s="2"/>
      <c r="AIQ33" s="2"/>
      <c r="AIR33" s="2"/>
      <c r="AIS33" s="2"/>
      <c r="AIT33" s="2"/>
      <c r="AIU33" s="2"/>
      <c r="AIV33" s="2"/>
      <c r="AIW33" s="2"/>
      <c r="AIX33" s="2"/>
      <c r="AIY33" s="2"/>
      <c r="AIZ33" s="2"/>
      <c r="AJA33" s="2"/>
      <c r="AJB33" s="2"/>
      <c r="AJC33" s="2"/>
      <c r="AJD33" s="2"/>
      <c r="AJE33" s="2"/>
      <c r="AJF33" s="2"/>
      <c r="AJG33" s="2"/>
      <c r="AJH33" s="2"/>
      <c r="AJI33" s="2"/>
      <c r="AJJ33" s="2"/>
      <c r="AJK33" s="2"/>
      <c r="AJL33" s="2"/>
      <c r="AJM33" s="2"/>
      <c r="AJN33" s="2"/>
      <c r="AJO33" s="2"/>
      <c r="AJP33" s="2"/>
      <c r="AJQ33" s="2"/>
      <c r="AJR33" s="2"/>
      <c r="AJS33" s="2"/>
      <c r="AJT33" s="2"/>
      <c r="AJU33" s="2"/>
      <c r="AJV33" s="2"/>
      <c r="AJW33" s="2"/>
      <c r="AJX33" s="2"/>
      <c r="AJY33" s="2"/>
      <c r="AJZ33" s="2"/>
      <c r="AKA33" s="2"/>
      <c r="AKB33" s="2"/>
      <c r="AKC33" s="2"/>
      <c r="AKD33" s="2"/>
      <c r="AKE33" s="2"/>
      <c r="AKF33" s="2"/>
      <c r="AKG33" s="2"/>
      <c r="AKH33" s="2"/>
      <c r="AKI33" s="2"/>
      <c r="AKJ33" s="2"/>
      <c r="AKK33" s="2"/>
      <c r="AKL33" s="2"/>
      <c r="AKM33" s="2"/>
      <c r="AKN33" s="2"/>
      <c r="AKO33" s="2"/>
      <c r="AKP33" s="2"/>
      <c r="AKQ33" s="2"/>
      <c r="AKR33" s="2"/>
      <c r="AKS33" s="2"/>
      <c r="AKT33" s="2"/>
      <c r="AKU33" s="2"/>
      <c r="AKV33" s="2"/>
      <c r="AKW33" s="2"/>
      <c r="AKX33" s="2"/>
      <c r="AKY33" s="2"/>
      <c r="AKZ33" s="2"/>
      <c r="ALA33" s="2"/>
      <c r="ALB33" s="2"/>
      <c r="ALC33" s="2"/>
      <c r="ALD33" s="2"/>
      <c r="ALE33" s="2"/>
      <c r="ALF33" s="2"/>
      <c r="ALG33" s="2"/>
      <c r="ALH33" s="2"/>
      <c r="ALI33" s="2"/>
      <c r="ALJ33" s="2"/>
      <c r="ALK33" s="2"/>
      <c r="ALL33" s="2"/>
      <c r="ALM33" s="2"/>
      <c r="ALN33" s="2"/>
      <c r="ALO33" s="2"/>
      <c r="ALP33" s="2"/>
      <c r="ALQ33" s="2"/>
      <c r="ALR33" s="2"/>
      <c r="ALS33" s="2"/>
      <c r="ALT33" s="2"/>
      <c r="ALU33" s="2"/>
      <c r="ALV33" s="2"/>
      <c r="ALW33" s="2"/>
      <c r="ALX33" s="2"/>
      <c r="ALY33" s="2"/>
      <c r="ALZ33" s="2"/>
      <c r="AMA33" s="2"/>
      <c r="AMB33" s="2"/>
      <c r="AMC33" s="2"/>
      <c r="AMD33" s="2"/>
      <c r="AME33" s="2"/>
      <c r="AMF33" s="2"/>
      <c r="AMG33" s="2"/>
      <c r="AMH33" s="2"/>
      <c r="AMI33" s="2"/>
      <c r="AMJ33" s="2"/>
    </row>
    <row r="34" ht="17" spans="1:16">
      <c r="A34" s="10">
        <v>45789</v>
      </c>
      <c r="B34" s="10" t="s">
        <v>16</v>
      </c>
      <c r="C34" s="11" t="s">
        <v>146</v>
      </c>
      <c r="D34" s="12" t="s">
        <v>147</v>
      </c>
      <c r="E34" s="11" t="s">
        <v>148</v>
      </c>
      <c r="F34" s="11" t="s">
        <v>126</v>
      </c>
      <c r="G34" s="14" t="s">
        <v>149</v>
      </c>
      <c r="H34" s="11"/>
      <c r="I34" s="11" t="s">
        <v>150</v>
      </c>
      <c r="J34" s="11"/>
      <c r="K34" s="18">
        <v>0.104166666666667</v>
      </c>
      <c r="L34" s="12"/>
      <c r="M34" s="11"/>
      <c r="N34" s="24">
        <f>2500/20</f>
        <v>125</v>
      </c>
      <c r="O34" s="11" t="s">
        <v>151</v>
      </c>
      <c r="P34" s="11"/>
    </row>
    <row r="35" ht="17" spans="1:16">
      <c r="A35" s="10">
        <v>45789</v>
      </c>
      <c r="B35" s="10" t="s">
        <v>16</v>
      </c>
      <c r="C35" s="11" t="s">
        <v>152</v>
      </c>
      <c r="D35" s="12" t="s">
        <v>153</v>
      </c>
      <c r="E35" s="11" t="s">
        <v>154</v>
      </c>
      <c r="F35" s="11" t="s">
        <v>155</v>
      </c>
      <c r="G35" s="11" t="s">
        <v>156</v>
      </c>
      <c r="H35" s="11"/>
      <c r="I35" s="11" t="s">
        <v>157</v>
      </c>
      <c r="J35" s="11"/>
      <c r="K35" s="19" t="s">
        <v>158</v>
      </c>
      <c r="L35" s="12"/>
      <c r="M35" s="11"/>
      <c r="N35" s="24">
        <f>790/20</f>
        <v>39.5</v>
      </c>
      <c r="O35" s="14" t="s">
        <v>159</v>
      </c>
      <c r="P35" s="11"/>
    </row>
    <row r="36" ht="17" spans="1:16">
      <c r="A36" s="10">
        <v>45788</v>
      </c>
      <c r="B36" s="10" t="s">
        <v>16</v>
      </c>
      <c r="C36" s="11" t="s">
        <v>160</v>
      </c>
      <c r="D36" s="12" t="s">
        <v>161</v>
      </c>
      <c r="E36" s="11" t="s">
        <v>162</v>
      </c>
      <c r="F36" s="11" t="s">
        <v>154</v>
      </c>
      <c r="G36" s="11" t="s">
        <v>163</v>
      </c>
      <c r="H36" s="11"/>
      <c r="I36" s="11" t="s">
        <v>164</v>
      </c>
      <c r="J36" s="11"/>
      <c r="K36" s="18" t="s">
        <v>165</v>
      </c>
      <c r="L36" s="12"/>
      <c r="M36" s="11"/>
      <c r="N36" s="24">
        <f>1210/20</f>
        <v>60.5</v>
      </c>
      <c r="O36" s="14" t="s">
        <v>159</v>
      </c>
      <c r="P36" s="11"/>
    </row>
    <row r="37" ht="17" spans="1:16">
      <c r="A37" s="10">
        <v>45788</v>
      </c>
      <c r="B37" s="10" t="s">
        <v>16</v>
      </c>
      <c r="C37" s="11" t="s">
        <v>166</v>
      </c>
      <c r="D37" s="12" t="s">
        <v>167</v>
      </c>
      <c r="E37" s="11" t="s">
        <v>154</v>
      </c>
      <c r="F37" s="2" t="s">
        <v>162</v>
      </c>
      <c r="G37" s="11" t="s">
        <v>168</v>
      </c>
      <c r="H37" s="11"/>
      <c r="I37" s="11" t="s">
        <v>169</v>
      </c>
      <c r="J37" s="11"/>
      <c r="K37" s="19"/>
      <c r="L37" s="12"/>
      <c r="M37" s="11"/>
      <c r="N37" s="24">
        <f>1720/20</f>
        <v>86</v>
      </c>
      <c r="O37" s="14" t="s">
        <v>159</v>
      </c>
      <c r="P37" s="11"/>
    </row>
    <row r="38" spans="1:16">
      <c r="A38" s="10">
        <v>45787</v>
      </c>
      <c r="B38" s="10" t="s">
        <v>16</v>
      </c>
      <c r="C38" s="11" t="s">
        <v>170</v>
      </c>
      <c r="D38" s="12" t="s">
        <v>171</v>
      </c>
      <c r="E38" s="11" t="s">
        <v>172</v>
      </c>
      <c r="F38" s="11" t="s">
        <v>148</v>
      </c>
      <c r="G38" s="11" t="s">
        <v>173</v>
      </c>
      <c r="H38" s="11"/>
      <c r="I38" s="11" t="s">
        <v>174</v>
      </c>
      <c r="J38" s="11">
        <v>59</v>
      </c>
      <c r="K38" s="19">
        <v>0.0625</v>
      </c>
      <c r="L38" s="12"/>
      <c r="M38" s="11"/>
      <c r="N38" s="24">
        <v>136.8</v>
      </c>
      <c r="O38" s="11" t="s">
        <v>175</v>
      </c>
      <c r="P38" s="11" t="s">
        <v>176</v>
      </c>
    </row>
    <row r="39" ht="17" spans="1:16">
      <c r="A39" s="10">
        <v>45787</v>
      </c>
      <c r="B39" s="10" t="s">
        <v>49</v>
      </c>
      <c r="C39" s="11" t="s">
        <v>177</v>
      </c>
      <c r="D39" s="12" t="s">
        <v>178</v>
      </c>
      <c r="E39" s="11" t="s">
        <v>179</v>
      </c>
      <c r="F39" s="11" t="s">
        <v>172</v>
      </c>
      <c r="G39" s="11" t="s">
        <v>180</v>
      </c>
      <c r="H39" s="11"/>
      <c r="I39" s="11" t="s">
        <v>181</v>
      </c>
      <c r="J39" s="11"/>
      <c r="K39" s="19">
        <v>0.0701388888888889</v>
      </c>
      <c r="L39" s="12"/>
      <c r="M39" s="20" t="s">
        <v>182</v>
      </c>
      <c r="N39" s="24">
        <f>8440/20</f>
        <v>422</v>
      </c>
      <c r="O39" s="11" t="s">
        <v>183</v>
      </c>
      <c r="P39" s="11"/>
    </row>
    <row r="40" ht="17" spans="1:16">
      <c r="A40" s="10">
        <v>45787</v>
      </c>
      <c r="B40" s="10" t="s">
        <v>49</v>
      </c>
      <c r="C40" s="11" t="s">
        <v>184</v>
      </c>
      <c r="D40" s="12" t="s">
        <v>185</v>
      </c>
      <c r="E40" s="11" t="s">
        <v>186</v>
      </c>
      <c r="F40" s="2" t="s">
        <v>179</v>
      </c>
      <c r="G40" s="11" t="s">
        <v>180</v>
      </c>
      <c r="H40" s="11"/>
      <c r="I40" s="11" t="s">
        <v>187</v>
      </c>
      <c r="J40" s="11"/>
      <c r="K40" s="18" t="s">
        <v>188</v>
      </c>
      <c r="L40" s="12"/>
      <c r="M40" s="20" t="s">
        <v>189</v>
      </c>
      <c r="N40" s="24">
        <f>5910/20</f>
        <v>295.5</v>
      </c>
      <c r="O40" s="11" t="s">
        <v>183</v>
      </c>
      <c r="P40" s="11"/>
    </row>
    <row r="41" ht="17" spans="1:16">
      <c r="A41" s="10">
        <v>45784</v>
      </c>
      <c r="B41" s="10" t="s">
        <v>49</v>
      </c>
      <c r="C41" s="11" t="s">
        <v>190</v>
      </c>
      <c r="D41" s="12" t="s">
        <v>191</v>
      </c>
      <c r="E41" s="11" t="s">
        <v>192</v>
      </c>
      <c r="F41" s="11" t="s">
        <v>186</v>
      </c>
      <c r="G41" s="11" t="s">
        <v>193</v>
      </c>
      <c r="H41" s="11"/>
      <c r="I41" s="11" t="s">
        <v>194</v>
      </c>
      <c r="J41" s="11"/>
      <c r="K41" s="18" t="s">
        <v>195</v>
      </c>
      <c r="L41" s="12"/>
      <c r="M41" s="11"/>
      <c r="N41" s="24">
        <f>240/20</f>
        <v>12</v>
      </c>
      <c r="O41" s="11" t="s">
        <v>196</v>
      </c>
      <c r="P41" s="11"/>
    </row>
    <row r="42" ht="17" spans="1:16">
      <c r="A42" s="10">
        <v>45784</v>
      </c>
      <c r="B42" s="10" t="s">
        <v>49</v>
      </c>
      <c r="C42" s="11" t="s">
        <v>197</v>
      </c>
      <c r="D42" s="12" t="s">
        <v>191</v>
      </c>
      <c r="E42" s="11" t="s">
        <v>198</v>
      </c>
      <c r="F42" s="11" t="s">
        <v>192</v>
      </c>
      <c r="G42" s="11" t="s">
        <v>193</v>
      </c>
      <c r="H42" s="11"/>
      <c r="I42" s="11" t="s">
        <v>199</v>
      </c>
      <c r="J42" s="11"/>
      <c r="K42" s="18" t="s">
        <v>200</v>
      </c>
      <c r="L42" s="12"/>
      <c r="M42" s="11"/>
      <c r="N42" s="24">
        <f>510/20</f>
        <v>25.5</v>
      </c>
      <c r="O42" s="11" t="s">
        <v>196</v>
      </c>
      <c r="P42" s="11"/>
    </row>
    <row r="43" ht="17" spans="1:15">
      <c r="A43" s="10">
        <v>45784</v>
      </c>
      <c r="B43" s="10" t="s">
        <v>49</v>
      </c>
      <c r="C43" s="11" t="s">
        <v>201</v>
      </c>
      <c r="D43" s="2" t="s">
        <v>202</v>
      </c>
      <c r="E43" s="11" t="s">
        <v>203</v>
      </c>
      <c r="F43" s="11" t="s">
        <v>198</v>
      </c>
      <c r="G43" s="11" t="s">
        <v>204</v>
      </c>
      <c r="H43" s="11"/>
      <c r="I43" s="11" t="s">
        <v>205</v>
      </c>
      <c r="J43" s="11"/>
      <c r="K43" s="18" t="s">
        <v>206</v>
      </c>
      <c r="L43" s="12"/>
      <c r="M43" s="11"/>
      <c r="N43" s="6">
        <f>680/20</f>
        <v>34</v>
      </c>
      <c r="O43" s="11" t="s">
        <v>207</v>
      </c>
    </row>
    <row r="44" ht="17" spans="1:15">
      <c r="A44" s="10">
        <v>45782</v>
      </c>
      <c r="B44" s="10" t="s">
        <v>49</v>
      </c>
      <c r="C44" s="11" t="s">
        <v>208</v>
      </c>
      <c r="D44" s="2" t="s">
        <v>209</v>
      </c>
      <c r="E44" s="11" t="s">
        <v>210</v>
      </c>
      <c r="F44" s="11" t="s">
        <v>203</v>
      </c>
      <c r="G44" s="11" t="s">
        <v>211</v>
      </c>
      <c r="H44" s="11"/>
      <c r="I44" s="11" t="s">
        <v>212</v>
      </c>
      <c r="J44" s="11"/>
      <c r="K44" s="18" t="s">
        <v>213</v>
      </c>
      <c r="L44" s="12"/>
      <c r="M44" s="11"/>
      <c r="N44" s="6">
        <f>420/20</f>
        <v>21</v>
      </c>
      <c r="O44" s="11" t="s">
        <v>214</v>
      </c>
    </row>
    <row r="45" ht="17" spans="1:15">
      <c r="A45" s="3">
        <v>45781</v>
      </c>
      <c r="B45" s="10" t="s">
        <v>215</v>
      </c>
      <c r="C45" s="11" t="s">
        <v>216</v>
      </c>
      <c r="D45" s="11" t="s">
        <v>217</v>
      </c>
      <c r="E45" s="11" t="s">
        <v>218</v>
      </c>
      <c r="F45" s="11" t="s">
        <v>210</v>
      </c>
      <c r="G45" s="11" t="s">
        <v>217</v>
      </c>
      <c r="H45" s="11"/>
      <c r="I45" s="11" t="s">
        <v>219</v>
      </c>
      <c r="J45" s="11"/>
      <c r="K45" s="18" t="s">
        <v>220</v>
      </c>
      <c r="L45" s="12"/>
      <c r="M45" s="11"/>
      <c r="N45" s="6">
        <f>500/20</f>
        <v>25</v>
      </c>
      <c r="O45" s="11"/>
    </row>
    <row r="46" ht="17" spans="1:16">
      <c r="A46" s="10">
        <v>45781</v>
      </c>
      <c r="B46" s="10" t="s">
        <v>39</v>
      </c>
      <c r="C46" s="11" t="s">
        <v>221</v>
      </c>
      <c r="D46" s="12" t="s">
        <v>222</v>
      </c>
      <c r="E46" s="11" t="s">
        <v>43</v>
      </c>
      <c r="F46" s="11" t="s">
        <v>218</v>
      </c>
      <c r="G46" s="14" t="s">
        <v>223</v>
      </c>
      <c r="H46" s="11">
        <v>1395</v>
      </c>
      <c r="I46" s="15" t="s">
        <v>224</v>
      </c>
      <c r="J46" s="11">
        <v>1395</v>
      </c>
      <c r="K46" s="19">
        <v>0.104166666666667</v>
      </c>
      <c r="L46" s="12"/>
      <c r="M46" s="11"/>
      <c r="N46" s="24">
        <v>590</v>
      </c>
      <c r="O46" s="11" t="s">
        <v>48</v>
      </c>
      <c r="P46" s="14" t="s">
        <v>225</v>
      </c>
    </row>
    <row r="47" ht="17" spans="1:16">
      <c r="A47" s="10">
        <v>45781</v>
      </c>
      <c r="B47" s="10" t="s">
        <v>16</v>
      </c>
      <c r="C47" s="11" t="s">
        <v>226</v>
      </c>
      <c r="D47" s="12" t="s">
        <v>227</v>
      </c>
      <c r="E47" s="11" t="s">
        <v>20</v>
      </c>
      <c r="F47" s="11" t="s">
        <v>43</v>
      </c>
      <c r="G47" s="11" t="s">
        <v>21</v>
      </c>
      <c r="H47" s="11">
        <v>104</v>
      </c>
      <c r="I47" s="14" t="s">
        <v>228</v>
      </c>
      <c r="J47" s="11">
        <v>104</v>
      </c>
      <c r="K47" s="18" t="s">
        <v>229</v>
      </c>
      <c r="L47" s="12" t="s">
        <v>230</v>
      </c>
      <c r="M47" s="11">
        <v>3</v>
      </c>
      <c r="N47" s="24">
        <v>64</v>
      </c>
      <c r="O47" s="11" t="s">
        <v>30</v>
      </c>
      <c r="P47" s="11"/>
    </row>
    <row r="48" spans="1:16">
      <c r="A48" s="3">
        <v>45758</v>
      </c>
      <c r="B48" s="3" t="s">
        <v>16</v>
      </c>
      <c r="C48" s="2" t="s">
        <v>231</v>
      </c>
      <c r="D48" s="2" t="s">
        <v>232</v>
      </c>
      <c r="E48" s="2" t="s">
        <v>233</v>
      </c>
      <c r="F48" s="2" t="s">
        <v>20</v>
      </c>
      <c r="G48" s="2" t="s">
        <v>232</v>
      </c>
      <c r="H48" s="2">
        <v>233</v>
      </c>
      <c r="I48" s="16" t="s">
        <v>234</v>
      </c>
      <c r="J48" s="2">
        <v>233</v>
      </c>
      <c r="N48" s="6" t="s">
        <v>59</v>
      </c>
      <c r="P48" s="2" t="s">
        <v>235</v>
      </c>
    </row>
    <row r="49" ht="17" spans="1:16">
      <c r="A49" s="3">
        <v>45749</v>
      </c>
      <c r="B49" s="10" t="s">
        <v>49</v>
      </c>
      <c r="C49" s="2" t="s">
        <v>236</v>
      </c>
      <c r="D49" s="4" t="s">
        <v>237</v>
      </c>
      <c r="E49" s="11" t="s">
        <v>238</v>
      </c>
      <c r="F49" s="11" t="s">
        <v>239</v>
      </c>
      <c r="G49" s="15" t="s">
        <v>240</v>
      </c>
      <c r="H49" s="2">
        <v>1438</v>
      </c>
      <c r="I49" s="15" t="s">
        <v>241</v>
      </c>
      <c r="J49" s="2">
        <v>155</v>
      </c>
      <c r="K49" s="5">
        <v>0.0444444444444444</v>
      </c>
      <c r="L49" s="4" t="s">
        <v>242</v>
      </c>
      <c r="M49" s="27" t="s">
        <v>243</v>
      </c>
      <c r="N49" s="6">
        <v>57</v>
      </c>
      <c r="O49" s="11" t="s">
        <v>244</v>
      </c>
      <c r="P49" s="11" t="s">
        <v>245</v>
      </c>
    </row>
    <row r="50" spans="1:16">
      <c r="A50" s="3">
        <v>45749</v>
      </c>
      <c r="B50" s="3" t="s">
        <v>246</v>
      </c>
      <c r="C50" s="2" t="s">
        <v>247</v>
      </c>
      <c r="D50" s="2" t="s">
        <v>248</v>
      </c>
      <c r="E50" s="2" t="s">
        <v>249</v>
      </c>
      <c r="F50" s="2" t="s">
        <v>96</v>
      </c>
      <c r="G50" s="2" t="s">
        <v>248</v>
      </c>
      <c r="H50" s="2">
        <v>150.73</v>
      </c>
      <c r="I50" s="16" t="s">
        <v>250</v>
      </c>
      <c r="J50" s="2">
        <v>150.73</v>
      </c>
      <c r="K50" s="5">
        <v>0.265543981481481</v>
      </c>
      <c r="L50" s="4" t="s">
        <v>59</v>
      </c>
      <c r="M50" s="2" t="s">
        <v>59</v>
      </c>
      <c r="N50" s="6" t="s">
        <v>59</v>
      </c>
      <c r="O50" s="2" t="s">
        <v>59</v>
      </c>
      <c r="P50" s="2" t="s">
        <v>251</v>
      </c>
    </row>
    <row r="51" ht="17" spans="1:16">
      <c r="A51" s="3">
        <v>45711</v>
      </c>
      <c r="B51" s="3" t="s">
        <v>39</v>
      </c>
      <c r="C51" s="2" t="s">
        <v>252</v>
      </c>
      <c r="D51" s="4" t="s">
        <v>253</v>
      </c>
      <c r="E51" s="2" t="s">
        <v>254</v>
      </c>
      <c r="F51" s="2" t="s">
        <v>249</v>
      </c>
      <c r="G51" s="16" t="s">
        <v>255</v>
      </c>
      <c r="H51" s="2">
        <v>1179</v>
      </c>
      <c r="I51" s="15" t="s">
        <v>256</v>
      </c>
      <c r="J51" s="2">
        <v>1179</v>
      </c>
      <c r="K51" s="5">
        <v>0.0666666666666667</v>
      </c>
      <c r="L51" s="4" t="s">
        <v>257</v>
      </c>
      <c r="M51" s="2" t="s">
        <v>258</v>
      </c>
      <c r="N51" s="6">
        <v>490</v>
      </c>
      <c r="O51" s="2" t="s">
        <v>259</v>
      </c>
      <c r="P51" s="2" t="s">
        <v>260</v>
      </c>
    </row>
    <row r="52" ht="17" spans="1:16">
      <c r="A52" s="3">
        <v>45709</v>
      </c>
      <c r="B52" s="10" t="s">
        <v>49</v>
      </c>
      <c r="C52" s="13" t="s">
        <v>261</v>
      </c>
      <c r="D52" s="4" t="s">
        <v>262</v>
      </c>
      <c r="E52" s="11" t="s">
        <v>239</v>
      </c>
      <c r="F52" s="11" t="s">
        <v>263</v>
      </c>
      <c r="G52" s="15" t="s">
        <v>264</v>
      </c>
      <c r="H52" s="2">
        <v>1662</v>
      </c>
      <c r="I52" s="15" t="s">
        <v>265</v>
      </c>
      <c r="J52" s="2">
        <v>1503</v>
      </c>
      <c r="K52" s="5">
        <v>0.422916666666667</v>
      </c>
      <c r="L52" s="4" t="s">
        <v>266</v>
      </c>
      <c r="M52" s="27" t="s">
        <v>267</v>
      </c>
      <c r="N52" s="6">
        <v>770</v>
      </c>
      <c r="O52" s="11" t="s">
        <v>268</v>
      </c>
      <c r="P52" s="2" t="s">
        <v>269</v>
      </c>
    </row>
    <row r="53" ht="17" spans="1:16">
      <c r="A53" s="3">
        <v>45627</v>
      </c>
      <c r="B53" s="10" t="s">
        <v>49</v>
      </c>
      <c r="C53" s="2" t="s">
        <v>270</v>
      </c>
      <c r="D53" s="4" t="s">
        <v>271</v>
      </c>
      <c r="E53" s="11" t="s">
        <v>239</v>
      </c>
      <c r="F53" s="11" t="s">
        <v>272</v>
      </c>
      <c r="G53" s="15" t="s">
        <v>240</v>
      </c>
      <c r="H53" s="2">
        <v>891</v>
      </c>
      <c r="I53" s="15" t="s">
        <v>273</v>
      </c>
      <c r="J53" s="2">
        <v>159</v>
      </c>
      <c r="K53" s="5">
        <v>0.0486111111111111</v>
      </c>
      <c r="L53" s="4" t="s">
        <v>274</v>
      </c>
      <c r="M53" s="27" t="s">
        <v>275</v>
      </c>
      <c r="N53" s="6">
        <v>59</v>
      </c>
      <c r="O53" s="11" t="s">
        <v>244</v>
      </c>
      <c r="P53" s="15" t="s">
        <v>276</v>
      </c>
    </row>
    <row r="54" ht="17" spans="1:16">
      <c r="A54" s="3">
        <v>45625</v>
      </c>
      <c r="B54" s="10" t="s">
        <v>49</v>
      </c>
      <c r="C54" s="2" t="s">
        <v>277</v>
      </c>
      <c r="D54" s="4" t="s">
        <v>278</v>
      </c>
      <c r="E54" s="11" t="s">
        <v>19</v>
      </c>
      <c r="F54" s="11" t="s">
        <v>239</v>
      </c>
      <c r="G54" s="15" t="s">
        <v>279</v>
      </c>
      <c r="H54" s="2">
        <v>159</v>
      </c>
      <c r="I54" s="15" t="s">
        <v>280</v>
      </c>
      <c r="J54" s="2">
        <v>159</v>
      </c>
      <c r="K54" s="21" t="s">
        <v>281</v>
      </c>
      <c r="L54" s="22" t="s">
        <v>282</v>
      </c>
      <c r="M54" s="27" t="s">
        <v>283</v>
      </c>
      <c r="N54" s="6">
        <v>80</v>
      </c>
      <c r="O54" s="11" t="s">
        <v>284</v>
      </c>
      <c r="P54" s="2" t="s">
        <v>285</v>
      </c>
    </row>
    <row r="55" ht="17" spans="1:15">
      <c r="A55" s="3">
        <v>45606</v>
      </c>
      <c r="B55" s="10" t="s">
        <v>49</v>
      </c>
      <c r="C55" s="2" t="s">
        <v>270</v>
      </c>
      <c r="D55" s="4" t="s">
        <v>271</v>
      </c>
      <c r="E55" s="11" t="s">
        <v>239</v>
      </c>
      <c r="F55" s="11" t="s">
        <v>272</v>
      </c>
      <c r="G55" s="15" t="s">
        <v>240</v>
      </c>
      <c r="H55" s="2">
        <v>891</v>
      </c>
      <c r="I55" s="15" t="s">
        <v>273</v>
      </c>
      <c r="J55" s="2">
        <v>159</v>
      </c>
      <c r="K55" s="5">
        <v>0.0486111111111111</v>
      </c>
      <c r="L55" s="4" t="s">
        <v>274</v>
      </c>
      <c r="M55" s="27" t="s">
        <v>286</v>
      </c>
      <c r="N55" s="6">
        <v>59</v>
      </c>
      <c r="O55" s="11" t="s">
        <v>244</v>
      </c>
    </row>
    <row r="56" ht="17" spans="1:16">
      <c r="A56" s="3">
        <v>45605</v>
      </c>
      <c r="B56" s="10" t="s">
        <v>49</v>
      </c>
      <c r="C56" s="13" t="s">
        <v>287</v>
      </c>
      <c r="D56" s="4" t="s">
        <v>288</v>
      </c>
      <c r="E56" s="11" t="s">
        <v>289</v>
      </c>
      <c r="F56" s="11" t="s">
        <v>290</v>
      </c>
      <c r="G56" s="15" t="s">
        <v>240</v>
      </c>
      <c r="H56" s="2">
        <v>1084</v>
      </c>
      <c r="I56" s="15" t="s">
        <v>273</v>
      </c>
      <c r="J56" s="2">
        <v>159</v>
      </c>
      <c r="K56" s="21" t="s">
        <v>281</v>
      </c>
      <c r="L56" s="4" t="s">
        <v>291</v>
      </c>
      <c r="M56" s="27" t="s">
        <v>292</v>
      </c>
      <c r="N56" s="6">
        <v>9</v>
      </c>
      <c r="O56" s="11" t="s">
        <v>284</v>
      </c>
      <c r="P56" s="11" t="s">
        <v>293</v>
      </c>
    </row>
    <row r="57" ht="17" spans="1:16">
      <c r="A57" s="3">
        <v>45605</v>
      </c>
      <c r="B57" s="10" t="s">
        <v>49</v>
      </c>
      <c r="C57" s="2" t="s">
        <v>294</v>
      </c>
      <c r="D57" s="4" t="s">
        <v>295</v>
      </c>
      <c r="E57" s="11" t="s">
        <v>296</v>
      </c>
      <c r="F57" s="11" t="s">
        <v>297</v>
      </c>
      <c r="G57" s="15" t="s">
        <v>264</v>
      </c>
      <c r="H57" s="2">
        <v>780</v>
      </c>
      <c r="I57" s="15" t="s">
        <v>280</v>
      </c>
      <c r="J57" s="2">
        <v>159</v>
      </c>
      <c r="K57" s="5">
        <v>0.0416666666666667</v>
      </c>
      <c r="L57" s="4" t="s">
        <v>298</v>
      </c>
      <c r="M57" s="27" t="s">
        <v>299</v>
      </c>
      <c r="N57" s="6">
        <v>73</v>
      </c>
      <c r="O57" s="11" t="s">
        <v>284</v>
      </c>
      <c r="P57" s="16" t="s">
        <v>300</v>
      </c>
    </row>
    <row r="58" ht="17" spans="1:15">
      <c r="A58" s="3">
        <v>45591</v>
      </c>
      <c r="B58" s="10" t="s">
        <v>49</v>
      </c>
      <c r="C58" s="2" t="s">
        <v>287</v>
      </c>
      <c r="D58" s="4" t="s">
        <v>288</v>
      </c>
      <c r="E58" s="11" t="s">
        <v>289</v>
      </c>
      <c r="F58" s="11" t="s">
        <v>290</v>
      </c>
      <c r="G58" s="15" t="s">
        <v>240</v>
      </c>
      <c r="H58" s="2">
        <v>1084</v>
      </c>
      <c r="I58" s="15" t="s">
        <v>273</v>
      </c>
      <c r="J58" s="2">
        <v>159</v>
      </c>
      <c r="K58" s="21" t="s">
        <v>281</v>
      </c>
      <c r="L58" s="22" t="s">
        <v>301</v>
      </c>
      <c r="M58" s="27" t="s">
        <v>302</v>
      </c>
      <c r="N58" s="6">
        <v>59</v>
      </c>
      <c r="O58" s="11" t="s">
        <v>284</v>
      </c>
    </row>
    <row r="59" ht="17" spans="1:16">
      <c r="A59" s="3">
        <v>45590</v>
      </c>
      <c r="B59" s="10" t="s">
        <v>49</v>
      </c>
      <c r="C59" s="2" t="s">
        <v>277</v>
      </c>
      <c r="D59" s="4" t="s">
        <v>278</v>
      </c>
      <c r="E59" s="11" t="s">
        <v>19</v>
      </c>
      <c r="F59" s="11" t="s">
        <v>239</v>
      </c>
      <c r="G59" s="15" t="s">
        <v>279</v>
      </c>
      <c r="H59" s="2">
        <v>159</v>
      </c>
      <c r="I59" s="15" t="s">
        <v>280</v>
      </c>
      <c r="J59" s="2">
        <v>159</v>
      </c>
      <c r="K59" s="21" t="s">
        <v>281</v>
      </c>
      <c r="L59" s="22" t="s">
        <v>282</v>
      </c>
      <c r="M59" s="27" t="s">
        <v>303</v>
      </c>
      <c r="N59" s="6">
        <v>80</v>
      </c>
      <c r="O59" s="11" t="s">
        <v>284</v>
      </c>
      <c r="P59" s="16" t="s">
        <v>304</v>
      </c>
    </row>
    <row r="60" ht="17" spans="1:15">
      <c r="A60" s="3">
        <v>45508</v>
      </c>
      <c r="B60" s="10" t="s">
        <v>39</v>
      </c>
      <c r="C60" s="2" t="s">
        <v>305</v>
      </c>
      <c r="D60" s="4" t="s">
        <v>306</v>
      </c>
      <c r="E60" s="11" t="s">
        <v>307</v>
      </c>
      <c r="F60" s="11" t="s">
        <v>249</v>
      </c>
      <c r="G60" s="15" t="s">
        <v>308</v>
      </c>
      <c r="H60" s="2">
        <v>1538</v>
      </c>
      <c r="I60" s="15" t="s">
        <v>309</v>
      </c>
      <c r="J60" s="2">
        <v>1538</v>
      </c>
      <c r="K60" s="5">
        <v>0.0861111111111111</v>
      </c>
      <c r="L60" s="4" t="s">
        <v>310</v>
      </c>
      <c r="M60" s="2" t="s">
        <v>311</v>
      </c>
      <c r="N60" s="6">
        <v>1330</v>
      </c>
      <c r="O60" s="11" t="s">
        <v>312</v>
      </c>
    </row>
    <row r="61" ht="17" spans="1:15">
      <c r="A61" s="3">
        <v>45505</v>
      </c>
      <c r="B61" s="10" t="s">
        <v>39</v>
      </c>
      <c r="C61" s="2" t="s">
        <v>313</v>
      </c>
      <c r="D61" s="4" t="s">
        <v>314</v>
      </c>
      <c r="E61" s="11" t="s">
        <v>249</v>
      </c>
      <c r="F61" s="11" t="s">
        <v>307</v>
      </c>
      <c r="G61" s="15" t="s">
        <v>315</v>
      </c>
      <c r="H61" s="2">
        <v>1538</v>
      </c>
      <c r="I61" s="15" t="s">
        <v>316</v>
      </c>
      <c r="J61" s="2">
        <v>1538</v>
      </c>
      <c r="K61" s="5">
        <v>0.0847222222222222</v>
      </c>
      <c r="L61" s="4" t="s">
        <v>317</v>
      </c>
      <c r="M61" s="2" t="s">
        <v>318</v>
      </c>
      <c r="N61" s="6">
        <v>1510</v>
      </c>
      <c r="O61" s="11" t="s">
        <v>259</v>
      </c>
    </row>
    <row r="62" ht="17" spans="1:15">
      <c r="A62" s="3">
        <v>45481</v>
      </c>
      <c r="B62" s="10" t="s">
        <v>39</v>
      </c>
      <c r="C62" s="2" t="s">
        <v>319</v>
      </c>
      <c r="D62" s="4" t="s">
        <v>320</v>
      </c>
      <c r="E62" s="11" t="s">
        <v>321</v>
      </c>
      <c r="F62" s="11" t="s">
        <v>249</v>
      </c>
      <c r="G62" s="15" t="s">
        <v>322</v>
      </c>
      <c r="H62" s="2">
        <v>3649</v>
      </c>
      <c r="I62" s="15" t="s">
        <v>323</v>
      </c>
      <c r="J62" s="2">
        <v>3649</v>
      </c>
      <c r="K62" s="5">
        <v>0.204166666666667</v>
      </c>
      <c r="L62" s="4" t="s">
        <v>324</v>
      </c>
      <c r="M62" s="2" t="s">
        <v>325</v>
      </c>
      <c r="N62" s="6">
        <v>1043</v>
      </c>
      <c r="O62" s="2" t="s">
        <v>326</v>
      </c>
    </row>
    <row r="63" spans="1:15">
      <c r="A63" s="3">
        <v>45479</v>
      </c>
      <c r="B63" s="10" t="s">
        <v>16</v>
      </c>
      <c r="C63" s="2" t="s">
        <v>327</v>
      </c>
      <c r="D63" s="4" t="s">
        <v>328</v>
      </c>
      <c r="E63" s="2" t="s">
        <v>329</v>
      </c>
      <c r="F63" s="11" t="s">
        <v>330</v>
      </c>
      <c r="G63" s="4" t="s">
        <v>331</v>
      </c>
      <c r="I63" s="11" t="s">
        <v>332</v>
      </c>
      <c r="N63" s="6" t="s">
        <v>333</v>
      </c>
      <c r="O63" s="4" t="s">
        <v>334</v>
      </c>
    </row>
    <row r="64" spans="1:15">
      <c r="A64" s="3">
        <v>45476</v>
      </c>
      <c r="B64" s="10" t="s">
        <v>16</v>
      </c>
      <c r="C64" s="13" t="s">
        <v>335</v>
      </c>
      <c r="D64" s="4" t="s">
        <v>336</v>
      </c>
      <c r="E64" s="2" t="s">
        <v>337</v>
      </c>
      <c r="F64" s="2" t="s">
        <v>329</v>
      </c>
      <c r="G64" s="2" t="s">
        <v>338</v>
      </c>
      <c r="I64" s="11" t="s">
        <v>339</v>
      </c>
      <c r="L64" s="4" t="s">
        <v>340</v>
      </c>
      <c r="M64" s="2" t="s">
        <v>341</v>
      </c>
      <c r="N64" s="6" t="s">
        <v>342</v>
      </c>
      <c r="O64" s="2" t="s">
        <v>343</v>
      </c>
    </row>
    <row r="65" spans="1:14">
      <c r="A65" s="3">
        <v>45474</v>
      </c>
      <c r="B65" s="10" t="s">
        <v>49</v>
      </c>
      <c r="C65" s="13" t="s">
        <v>344</v>
      </c>
      <c r="D65" s="4" t="s">
        <v>345</v>
      </c>
      <c r="E65" s="2" t="s">
        <v>346</v>
      </c>
      <c r="F65" s="2" t="s">
        <v>347</v>
      </c>
      <c r="G65" s="2" t="s">
        <v>348</v>
      </c>
      <c r="I65" s="2" t="s">
        <v>349</v>
      </c>
      <c r="N65" s="6" t="s">
        <v>350</v>
      </c>
    </row>
    <row r="66" spans="1:14">
      <c r="A66" s="3">
        <v>45474</v>
      </c>
      <c r="B66" s="10" t="s">
        <v>49</v>
      </c>
      <c r="C66" s="2" t="s">
        <v>351</v>
      </c>
      <c r="D66" s="4" t="s">
        <v>352</v>
      </c>
      <c r="E66" s="2" t="s">
        <v>353</v>
      </c>
      <c r="F66" s="2" t="s">
        <v>346</v>
      </c>
      <c r="G66" s="2" t="s">
        <v>354</v>
      </c>
      <c r="I66" s="2" t="s">
        <v>355</v>
      </c>
      <c r="L66" s="4" t="s">
        <v>230</v>
      </c>
      <c r="N66" s="6" t="s">
        <v>356</v>
      </c>
    </row>
    <row r="67" spans="1:16">
      <c r="A67" s="3">
        <v>45471</v>
      </c>
      <c r="B67" s="10" t="s">
        <v>49</v>
      </c>
      <c r="C67" s="13" t="s">
        <v>357</v>
      </c>
      <c r="D67" s="2" t="s">
        <v>358</v>
      </c>
      <c r="E67" s="2" t="s">
        <v>359</v>
      </c>
      <c r="F67" s="2" t="s">
        <v>353</v>
      </c>
      <c r="G67" s="2" t="s">
        <v>358</v>
      </c>
      <c r="I67" s="2" t="s">
        <v>360</v>
      </c>
      <c r="N67" s="6" t="s">
        <v>361</v>
      </c>
      <c r="O67" s="2" t="s">
        <v>362</v>
      </c>
      <c r="P67" s="2" t="s">
        <v>363</v>
      </c>
    </row>
    <row r="68" spans="1:14">
      <c r="A68" s="3">
        <v>45470</v>
      </c>
      <c r="B68" s="10" t="s">
        <v>49</v>
      </c>
      <c r="C68" s="2" t="s">
        <v>364</v>
      </c>
      <c r="D68" s="4" t="s">
        <v>365</v>
      </c>
      <c r="E68" s="2" t="s">
        <v>366</v>
      </c>
      <c r="F68" s="2" t="s">
        <v>359</v>
      </c>
      <c r="G68" s="2" t="s">
        <v>367</v>
      </c>
      <c r="I68" s="2" t="s">
        <v>368</v>
      </c>
      <c r="N68" s="6" t="s">
        <v>369</v>
      </c>
    </row>
    <row r="69" ht="17" spans="1:15">
      <c r="A69" s="3">
        <v>45466</v>
      </c>
      <c r="B69" s="10" t="s">
        <v>49</v>
      </c>
      <c r="C69" s="2" t="s">
        <v>370</v>
      </c>
      <c r="D69" s="4" t="s">
        <v>371</v>
      </c>
      <c r="E69" s="2" t="s">
        <v>372</v>
      </c>
      <c r="F69" s="2" t="s">
        <v>366</v>
      </c>
      <c r="G69" s="4" t="s">
        <v>373</v>
      </c>
      <c r="I69" s="11" t="s">
        <v>374</v>
      </c>
      <c r="K69" s="5">
        <v>0.534722222222222</v>
      </c>
      <c r="L69" s="4" t="s">
        <v>230</v>
      </c>
      <c r="M69" s="27" t="s">
        <v>375</v>
      </c>
      <c r="N69" s="6">
        <v>188</v>
      </c>
      <c r="O69" s="2" t="s">
        <v>376</v>
      </c>
    </row>
    <row r="70" spans="1:15">
      <c r="A70" s="3">
        <v>45463</v>
      </c>
      <c r="B70" s="10" t="s">
        <v>16</v>
      </c>
      <c r="C70" s="2" t="s">
        <v>377</v>
      </c>
      <c r="D70" s="4" t="s">
        <v>378</v>
      </c>
      <c r="E70" s="2" t="s">
        <v>379</v>
      </c>
      <c r="F70" s="2" t="s">
        <v>380</v>
      </c>
      <c r="G70" s="4" t="s">
        <v>381</v>
      </c>
      <c r="H70" s="2">
        <v>182</v>
      </c>
      <c r="I70" s="11" t="s">
        <v>382</v>
      </c>
      <c r="J70" s="2">
        <v>182</v>
      </c>
      <c r="K70" s="5">
        <v>0.138888888888889</v>
      </c>
      <c r="L70" s="4" t="s">
        <v>383</v>
      </c>
      <c r="M70" s="2" t="s">
        <v>384</v>
      </c>
      <c r="N70" s="6">
        <v>61</v>
      </c>
      <c r="O70" s="2" t="s">
        <v>385</v>
      </c>
    </row>
    <row r="71" ht="17" spans="1:16">
      <c r="A71" s="3">
        <v>45462</v>
      </c>
      <c r="B71" s="3" t="s">
        <v>16</v>
      </c>
      <c r="C71" s="13" t="s">
        <v>386</v>
      </c>
      <c r="D71" s="4" t="s">
        <v>387</v>
      </c>
      <c r="E71" s="2" t="s">
        <v>388</v>
      </c>
      <c r="F71" s="2" t="s">
        <v>379</v>
      </c>
      <c r="G71" s="4" t="s">
        <v>387</v>
      </c>
      <c r="H71" s="2">
        <v>103</v>
      </c>
      <c r="I71" s="2" t="s">
        <v>389</v>
      </c>
      <c r="J71" s="2">
        <v>103</v>
      </c>
      <c r="K71" s="21" t="s">
        <v>390</v>
      </c>
      <c r="N71" s="6" t="s">
        <v>391</v>
      </c>
      <c r="P71" s="2" t="s">
        <v>392</v>
      </c>
    </row>
    <row r="72" spans="1:15">
      <c r="A72" s="3">
        <v>45462</v>
      </c>
      <c r="B72" s="3" t="s">
        <v>215</v>
      </c>
      <c r="C72" s="13" t="s">
        <v>393</v>
      </c>
      <c r="D72" s="4" t="s">
        <v>394</v>
      </c>
      <c r="E72" s="28" t="s">
        <v>395</v>
      </c>
      <c r="F72" s="2" t="s">
        <v>396</v>
      </c>
      <c r="G72" s="2" t="s">
        <v>397</v>
      </c>
      <c r="H72" s="2" t="s">
        <v>59</v>
      </c>
      <c r="I72" s="11" t="s">
        <v>398</v>
      </c>
      <c r="J72" s="2" t="s">
        <v>59</v>
      </c>
      <c r="L72" s="4" t="s">
        <v>59</v>
      </c>
      <c r="M72" s="2" t="s">
        <v>59</v>
      </c>
      <c r="N72" s="6" t="s">
        <v>59</v>
      </c>
      <c r="O72" s="2" t="s">
        <v>399</v>
      </c>
    </row>
    <row r="73" ht="17" spans="1:16">
      <c r="A73" s="3">
        <v>45461</v>
      </c>
      <c r="B73" s="10" t="s">
        <v>215</v>
      </c>
      <c r="C73" s="13" t="s">
        <v>400</v>
      </c>
      <c r="D73" s="4" t="s">
        <v>394</v>
      </c>
      <c r="E73" s="2" t="s">
        <v>401</v>
      </c>
      <c r="F73" s="28" t="s">
        <v>395</v>
      </c>
      <c r="G73" s="2" t="s">
        <v>397</v>
      </c>
      <c r="H73" s="2" t="s">
        <v>59</v>
      </c>
      <c r="I73" s="11" t="s">
        <v>402</v>
      </c>
      <c r="J73" s="2" t="s">
        <v>59</v>
      </c>
      <c r="L73" s="4" t="s">
        <v>59</v>
      </c>
      <c r="M73" s="2" t="s">
        <v>59</v>
      </c>
      <c r="N73" s="6">
        <v>122</v>
      </c>
      <c r="O73" s="2" t="s">
        <v>399</v>
      </c>
      <c r="P73" s="15" t="s">
        <v>403</v>
      </c>
    </row>
    <row r="74" ht="17" spans="1:15">
      <c r="A74" s="3">
        <v>45458</v>
      </c>
      <c r="B74" s="10" t="s">
        <v>49</v>
      </c>
      <c r="C74" s="2" t="s">
        <v>404</v>
      </c>
      <c r="D74" s="4" t="s">
        <v>405</v>
      </c>
      <c r="E74" s="11" t="s">
        <v>406</v>
      </c>
      <c r="F74" s="11" t="s">
        <v>407</v>
      </c>
      <c r="G74" s="15" t="s">
        <v>408</v>
      </c>
      <c r="H74" s="2">
        <v>316</v>
      </c>
      <c r="I74" s="15" t="s">
        <v>409</v>
      </c>
      <c r="J74" s="2">
        <v>316</v>
      </c>
      <c r="K74" s="5">
        <v>0.209722222222222</v>
      </c>
      <c r="L74" s="12" t="s">
        <v>410</v>
      </c>
      <c r="M74" s="27" t="s">
        <v>411</v>
      </c>
      <c r="N74" s="6">
        <v>174</v>
      </c>
      <c r="O74" s="11" t="s">
        <v>412</v>
      </c>
    </row>
    <row r="75" ht="17" spans="1:16">
      <c r="A75" s="3">
        <v>45453</v>
      </c>
      <c r="B75" s="10" t="s">
        <v>39</v>
      </c>
      <c r="C75" s="13" t="s">
        <v>413</v>
      </c>
      <c r="D75" s="4" t="s">
        <v>414</v>
      </c>
      <c r="E75" s="11" t="s">
        <v>249</v>
      </c>
      <c r="F75" s="11" t="s">
        <v>415</v>
      </c>
      <c r="G75" s="15" t="s">
        <v>416</v>
      </c>
      <c r="H75" s="2">
        <v>2310</v>
      </c>
      <c r="I75" s="15" t="s">
        <v>417</v>
      </c>
      <c r="J75" s="2">
        <v>2310</v>
      </c>
      <c r="K75" s="5">
        <v>0.190972222222222</v>
      </c>
      <c r="L75" s="4" t="s">
        <v>418</v>
      </c>
      <c r="M75" s="2" t="s">
        <v>419</v>
      </c>
      <c r="N75" s="6">
        <v>400</v>
      </c>
      <c r="O75" s="11" t="s">
        <v>420</v>
      </c>
      <c r="P75" s="11" t="s">
        <v>421</v>
      </c>
    </row>
    <row r="76" ht="17" spans="1:16">
      <c r="A76" s="3">
        <v>45439</v>
      </c>
      <c r="B76" s="10" t="s">
        <v>49</v>
      </c>
      <c r="C76" s="2" t="s">
        <v>422</v>
      </c>
      <c r="D76" s="4" t="s">
        <v>423</v>
      </c>
      <c r="E76" s="11" t="s">
        <v>424</v>
      </c>
      <c r="F76" s="11" t="s">
        <v>425</v>
      </c>
      <c r="G76" s="2" t="s">
        <v>426</v>
      </c>
      <c r="H76" s="2">
        <v>1586</v>
      </c>
      <c r="I76" s="15" t="s">
        <v>427</v>
      </c>
      <c r="J76" s="2">
        <v>1279</v>
      </c>
      <c r="K76" s="5">
        <v>0.252777777777778</v>
      </c>
      <c r="L76" s="22" t="s">
        <v>428</v>
      </c>
      <c r="M76" s="27" t="s">
        <v>429</v>
      </c>
      <c r="N76" s="6">
        <v>623</v>
      </c>
      <c r="O76" s="11" t="s">
        <v>284</v>
      </c>
      <c r="P76" s="11" t="s">
        <v>430</v>
      </c>
    </row>
    <row r="77" ht="17" spans="1:16">
      <c r="A77" s="3">
        <v>45438</v>
      </c>
      <c r="B77" s="10" t="s">
        <v>49</v>
      </c>
      <c r="C77" s="2" t="s">
        <v>431</v>
      </c>
      <c r="D77" s="4" t="s">
        <v>432</v>
      </c>
      <c r="E77" s="11" t="s">
        <v>424</v>
      </c>
      <c r="F77" s="11" t="s">
        <v>433</v>
      </c>
      <c r="G77" s="11" t="s">
        <v>426</v>
      </c>
      <c r="H77" s="2">
        <v>1416</v>
      </c>
      <c r="I77" s="15" t="s">
        <v>434</v>
      </c>
      <c r="J77" s="2">
        <v>1277</v>
      </c>
      <c r="K77" s="5">
        <v>0.2</v>
      </c>
      <c r="L77" s="22" t="s">
        <v>435</v>
      </c>
      <c r="M77" s="27" t="s">
        <v>436</v>
      </c>
      <c r="N77" s="6">
        <v>10</v>
      </c>
      <c r="O77" s="11" t="s">
        <v>437</v>
      </c>
      <c r="P77" s="11" t="s">
        <v>438</v>
      </c>
    </row>
    <row r="78" ht="17" spans="1:16">
      <c r="A78" s="3">
        <v>45438</v>
      </c>
      <c r="B78" s="10" t="s">
        <v>49</v>
      </c>
      <c r="C78" s="2" t="s">
        <v>431</v>
      </c>
      <c r="D78" s="4" t="s">
        <v>432</v>
      </c>
      <c r="E78" s="11" t="s">
        <v>424</v>
      </c>
      <c r="F78" s="11" t="s">
        <v>433</v>
      </c>
      <c r="G78" s="11" t="s">
        <v>426</v>
      </c>
      <c r="H78" s="2">
        <v>1416</v>
      </c>
      <c r="I78" s="15" t="s">
        <v>434</v>
      </c>
      <c r="J78" s="2">
        <v>1277</v>
      </c>
      <c r="K78" s="5">
        <v>0.2</v>
      </c>
      <c r="L78" s="22" t="s">
        <v>435</v>
      </c>
      <c r="M78" s="27" t="s">
        <v>436</v>
      </c>
      <c r="N78" s="6">
        <v>93.5</v>
      </c>
      <c r="O78" s="11" t="s">
        <v>437</v>
      </c>
      <c r="P78" s="11" t="s">
        <v>293</v>
      </c>
    </row>
    <row r="79" ht="17" spans="1:16">
      <c r="A79" s="3">
        <v>45434</v>
      </c>
      <c r="B79" s="10" t="s">
        <v>39</v>
      </c>
      <c r="C79" s="2" t="s">
        <v>439</v>
      </c>
      <c r="D79" s="4" t="s">
        <v>440</v>
      </c>
      <c r="E79" s="11" t="s">
        <v>249</v>
      </c>
      <c r="F79" s="11" t="s">
        <v>441</v>
      </c>
      <c r="G79" s="15" t="s">
        <v>442</v>
      </c>
      <c r="H79" s="2">
        <v>1200</v>
      </c>
      <c r="I79" s="15" t="s">
        <v>443</v>
      </c>
      <c r="J79" s="2">
        <v>1200</v>
      </c>
      <c r="K79" s="5">
        <v>0.0770833333333333</v>
      </c>
      <c r="L79" s="4" t="s">
        <v>444</v>
      </c>
      <c r="M79" s="2" t="s">
        <v>445</v>
      </c>
      <c r="N79" s="6">
        <v>460</v>
      </c>
      <c r="O79" s="11" t="s">
        <v>446</v>
      </c>
      <c r="P79" s="27" t="s">
        <v>447</v>
      </c>
    </row>
    <row r="80" ht="17" spans="1:16">
      <c r="A80" s="3">
        <v>45341</v>
      </c>
      <c r="B80" s="10" t="s">
        <v>49</v>
      </c>
      <c r="C80" s="2" t="s">
        <v>448</v>
      </c>
      <c r="D80" s="4" t="s">
        <v>449</v>
      </c>
      <c r="E80" s="11" t="s">
        <v>424</v>
      </c>
      <c r="F80" s="11" t="s">
        <v>19</v>
      </c>
      <c r="G80" s="15" t="s">
        <v>264</v>
      </c>
      <c r="H80" s="2">
        <v>1279</v>
      </c>
      <c r="I80" s="15" t="s">
        <v>427</v>
      </c>
      <c r="J80" s="2">
        <v>1279</v>
      </c>
      <c r="K80" s="5">
        <v>0.179166666666667</v>
      </c>
      <c r="L80" s="22" t="s">
        <v>450</v>
      </c>
      <c r="M80" s="27" t="s">
        <v>451</v>
      </c>
      <c r="N80" s="6">
        <v>506</v>
      </c>
      <c r="O80" s="11" t="s">
        <v>437</v>
      </c>
      <c r="P80" s="27" t="s">
        <v>452</v>
      </c>
    </row>
    <row r="81" ht="17" spans="1:16">
      <c r="A81" s="3">
        <v>45340</v>
      </c>
      <c r="B81" s="10" t="s">
        <v>49</v>
      </c>
      <c r="C81" s="2" t="s">
        <v>453</v>
      </c>
      <c r="D81" s="4" t="s">
        <v>454</v>
      </c>
      <c r="E81" s="11" t="s">
        <v>19</v>
      </c>
      <c r="F81" s="11" t="s">
        <v>424</v>
      </c>
      <c r="G81" s="15" t="s">
        <v>264</v>
      </c>
      <c r="H81" s="2">
        <v>1279</v>
      </c>
      <c r="I81" s="15" t="s">
        <v>455</v>
      </c>
      <c r="J81" s="2">
        <v>1279</v>
      </c>
      <c r="K81" s="5">
        <v>0.239583333333333</v>
      </c>
      <c r="L81" s="4" t="s">
        <v>456</v>
      </c>
      <c r="M81" s="27" t="s">
        <v>243</v>
      </c>
      <c r="N81" s="6">
        <v>506</v>
      </c>
      <c r="O81" s="11" t="s">
        <v>437</v>
      </c>
      <c r="P81" s="27" t="s">
        <v>457</v>
      </c>
    </row>
    <row r="82" ht="17" spans="1:16">
      <c r="A82" s="3">
        <v>45271</v>
      </c>
      <c r="B82" s="10" t="s">
        <v>39</v>
      </c>
      <c r="C82" s="2" t="s">
        <v>458</v>
      </c>
      <c r="D82" s="4" t="s">
        <v>459</v>
      </c>
      <c r="E82" s="11" t="s">
        <v>460</v>
      </c>
      <c r="F82" s="11" t="s">
        <v>249</v>
      </c>
      <c r="G82" s="15" t="s">
        <v>442</v>
      </c>
      <c r="H82" s="2">
        <v>1099</v>
      </c>
      <c r="I82" s="15" t="s">
        <v>461</v>
      </c>
      <c r="J82" s="2">
        <v>1099</v>
      </c>
      <c r="K82" s="5">
        <v>0.0708333333333333</v>
      </c>
      <c r="L82" s="4" t="s">
        <v>462</v>
      </c>
      <c r="M82" s="2" t="s">
        <v>463</v>
      </c>
      <c r="N82" s="6">
        <v>536</v>
      </c>
      <c r="O82" s="11" t="s">
        <v>464</v>
      </c>
      <c r="P82" s="11" t="s">
        <v>465</v>
      </c>
    </row>
    <row r="83" ht="17" spans="1:16">
      <c r="A83" s="3">
        <v>45268</v>
      </c>
      <c r="B83" s="10" t="s">
        <v>49</v>
      </c>
      <c r="C83" s="2" t="s">
        <v>466</v>
      </c>
      <c r="D83" s="4" t="s">
        <v>467</v>
      </c>
      <c r="E83" s="11" t="s">
        <v>468</v>
      </c>
      <c r="F83" s="11" t="s">
        <v>469</v>
      </c>
      <c r="G83" s="11" t="s">
        <v>470</v>
      </c>
      <c r="H83" s="2">
        <v>1598</v>
      </c>
      <c r="I83" s="15" t="s">
        <v>471</v>
      </c>
      <c r="J83" s="2">
        <v>1410</v>
      </c>
      <c r="K83" s="21" t="s">
        <v>472</v>
      </c>
      <c r="L83" s="4" t="s">
        <v>419</v>
      </c>
      <c r="M83" s="27" t="s">
        <v>473</v>
      </c>
      <c r="N83" s="6">
        <v>296.5</v>
      </c>
      <c r="O83" s="11" t="s">
        <v>268</v>
      </c>
      <c r="P83" s="11" t="s">
        <v>474</v>
      </c>
    </row>
    <row r="84" ht="17" spans="1:16">
      <c r="A84" s="3">
        <v>45252</v>
      </c>
      <c r="B84" s="10" t="s">
        <v>49</v>
      </c>
      <c r="C84" s="2" t="s">
        <v>475</v>
      </c>
      <c r="D84" s="4" t="s">
        <v>476</v>
      </c>
      <c r="E84" s="11" t="s">
        <v>424</v>
      </c>
      <c r="F84" s="11" t="s">
        <v>477</v>
      </c>
      <c r="G84" s="15" t="s">
        <v>279</v>
      </c>
      <c r="H84" s="2">
        <v>1506</v>
      </c>
      <c r="I84" s="15" t="s">
        <v>427</v>
      </c>
      <c r="J84" s="2">
        <v>1279</v>
      </c>
      <c r="K84" s="5">
        <v>0.247222222222222</v>
      </c>
      <c r="L84" s="22" t="s">
        <v>478</v>
      </c>
      <c r="M84" s="27" t="s">
        <v>479</v>
      </c>
      <c r="N84" s="6">
        <v>506</v>
      </c>
      <c r="O84" s="11" t="s">
        <v>284</v>
      </c>
      <c r="P84" s="27" t="s">
        <v>480</v>
      </c>
    </row>
    <row r="85" ht="17" spans="1:16">
      <c r="A85" s="3">
        <v>45236</v>
      </c>
      <c r="B85" s="10" t="s">
        <v>49</v>
      </c>
      <c r="C85" s="2" t="s">
        <v>481</v>
      </c>
      <c r="D85" s="4" t="s">
        <v>482</v>
      </c>
      <c r="E85" s="11" t="s">
        <v>239</v>
      </c>
      <c r="F85" s="11" t="s">
        <v>424</v>
      </c>
      <c r="G85" s="15" t="s">
        <v>264</v>
      </c>
      <c r="H85" s="2">
        <v>1318</v>
      </c>
      <c r="I85" s="15" t="s">
        <v>483</v>
      </c>
      <c r="J85" s="2">
        <v>692</v>
      </c>
      <c r="K85" s="5">
        <v>0.125694444444444</v>
      </c>
      <c r="L85" s="22" t="s">
        <v>484</v>
      </c>
      <c r="M85" s="27" t="s">
        <v>485</v>
      </c>
      <c r="N85" s="6">
        <v>322</v>
      </c>
      <c r="O85" s="11" t="s">
        <v>284</v>
      </c>
      <c r="P85" s="15" t="s">
        <v>486</v>
      </c>
    </row>
    <row r="86" ht="17" spans="1:16">
      <c r="A86" s="3">
        <v>45234</v>
      </c>
      <c r="B86" s="10" t="s">
        <v>49</v>
      </c>
      <c r="C86" s="2" t="s">
        <v>487</v>
      </c>
      <c r="D86" s="4" t="s">
        <v>432</v>
      </c>
      <c r="E86" s="11" t="s">
        <v>424</v>
      </c>
      <c r="F86" s="11" t="s">
        <v>488</v>
      </c>
      <c r="G86" s="15" t="s">
        <v>264</v>
      </c>
      <c r="H86" s="2">
        <v>1416</v>
      </c>
      <c r="I86" s="15" t="s">
        <v>489</v>
      </c>
      <c r="J86" s="2">
        <v>692</v>
      </c>
      <c r="K86" s="5">
        <v>0.0979166666666667</v>
      </c>
      <c r="L86" s="22" t="s">
        <v>435</v>
      </c>
      <c r="M86" s="27" t="s">
        <v>490</v>
      </c>
      <c r="N86" s="6">
        <v>350</v>
      </c>
      <c r="O86" s="11" t="s">
        <v>437</v>
      </c>
      <c r="P86" s="11" t="s">
        <v>491</v>
      </c>
    </row>
    <row r="87" ht="17" spans="1:16">
      <c r="A87" s="3">
        <v>45207</v>
      </c>
      <c r="B87" s="10" t="s">
        <v>49</v>
      </c>
      <c r="C87" s="2" t="s">
        <v>492</v>
      </c>
      <c r="D87" s="4" t="s">
        <v>493</v>
      </c>
      <c r="E87" s="11" t="s">
        <v>290</v>
      </c>
      <c r="F87" s="11" t="s">
        <v>424</v>
      </c>
      <c r="G87" s="15" t="s">
        <v>494</v>
      </c>
      <c r="H87" s="2">
        <v>1434</v>
      </c>
      <c r="I87" s="15" t="s">
        <v>495</v>
      </c>
      <c r="J87" s="2">
        <v>1434</v>
      </c>
      <c r="K87" s="5">
        <v>0.276388888888889</v>
      </c>
      <c r="L87" s="4" t="s">
        <v>496</v>
      </c>
      <c r="M87" s="27" t="s">
        <v>497</v>
      </c>
      <c r="N87" s="6">
        <v>559</v>
      </c>
      <c r="O87" s="11" t="s">
        <v>284</v>
      </c>
      <c r="P87" s="27" t="s">
        <v>498</v>
      </c>
    </row>
    <row r="88" ht="17" spans="1:16">
      <c r="A88" s="3">
        <v>45200</v>
      </c>
      <c r="B88" s="10" t="s">
        <v>16</v>
      </c>
      <c r="C88" s="2" t="s">
        <v>499</v>
      </c>
      <c r="D88" s="11" t="s">
        <v>21</v>
      </c>
      <c r="E88" s="11" t="s">
        <v>500</v>
      </c>
      <c r="F88" s="11" t="s">
        <v>501</v>
      </c>
      <c r="G88" s="11" t="s">
        <v>21</v>
      </c>
      <c r="H88" s="2">
        <v>246</v>
      </c>
      <c r="I88" s="15" t="s">
        <v>502</v>
      </c>
      <c r="J88" s="2">
        <v>246</v>
      </c>
      <c r="N88" s="6">
        <v>150</v>
      </c>
      <c r="O88" s="11"/>
      <c r="P88" s="27" t="s">
        <v>503</v>
      </c>
    </row>
    <row r="89" ht="17" spans="1:16">
      <c r="A89" s="3">
        <v>45199</v>
      </c>
      <c r="B89" s="10" t="s">
        <v>49</v>
      </c>
      <c r="C89" s="2" t="s">
        <v>504</v>
      </c>
      <c r="D89" s="4" t="s">
        <v>505</v>
      </c>
      <c r="E89" s="11" t="s">
        <v>506</v>
      </c>
      <c r="F89" s="11" t="s">
        <v>500</v>
      </c>
      <c r="G89" s="11" t="s">
        <v>507</v>
      </c>
      <c r="H89" s="2">
        <v>1463</v>
      </c>
      <c r="I89" s="15" t="s">
        <v>508</v>
      </c>
      <c r="J89" s="2">
        <v>1463</v>
      </c>
      <c r="K89" s="5">
        <v>0.784027777777778</v>
      </c>
      <c r="L89" s="22" t="s">
        <v>509</v>
      </c>
      <c r="M89" s="27" t="s">
        <v>510</v>
      </c>
      <c r="N89" s="6">
        <v>226.5</v>
      </c>
      <c r="O89" s="11" t="s">
        <v>284</v>
      </c>
      <c r="P89" s="27" t="s">
        <v>503</v>
      </c>
    </row>
    <row r="90" ht="17" spans="1:16">
      <c r="A90" s="3">
        <v>45179</v>
      </c>
      <c r="B90" s="10" t="s">
        <v>49</v>
      </c>
      <c r="C90" s="2" t="s">
        <v>511</v>
      </c>
      <c r="D90" s="4" t="s">
        <v>512</v>
      </c>
      <c r="E90" s="11" t="s">
        <v>500</v>
      </c>
      <c r="F90" s="11" t="s">
        <v>506</v>
      </c>
      <c r="G90" s="11" t="s">
        <v>513</v>
      </c>
      <c r="H90" s="2">
        <v>1463</v>
      </c>
      <c r="I90" s="15" t="s">
        <v>514</v>
      </c>
      <c r="J90" s="2">
        <v>1463</v>
      </c>
      <c r="K90" s="5">
        <v>0.668055555555555</v>
      </c>
      <c r="L90" s="22" t="s">
        <v>515</v>
      </c>
      <c r="M90" s="27" t="s">
        <v>516</v>
      </c>
      <c r="N90" s="6">
        <v>476.5</v>
      </c>
      <c r="O90" s="11" t="s">
        <v>437</v>
      </c>
      <c r="P90" s="27" t="s">
        <v>517</v>
      </c>
    </row>
    <row r="91" ht="17" spans="1:16">
      <c r="A91" s="3">
        <v>45152</v>
      </c>
      <c r="B91" s="10" t="s">
        <v>49</v>
      </c>
      <c r="C91" s="2" t="s">
        <v>518</v>
      </c>
      <c r="D91" s="4" t="s">
        <v>519</v>
      </c>
      <c r="E91" s="11" t="s">
        <v>424</v>
      </c>
      <c r="F91" s="11" t="s">
        <v>239</v>
      </c>
      <c r="G91" s="15" t="s">
        <v>264</v>
      </c>
      <c r="H91" s="2">
        <v>1318</v>
      </c>
      <c r="I91" s="15" t="s">
        <v>520</v>
      </c>
      <c r="J91" s="2">
        <v>295</v>
      </c>
      <c r="K91" s="5">
        <v>0.0479166666666667</v>
      </c>
      <c r="L91" s="4" t="s">
        <v>521</v>
      </c>
      <c r="M91" s="27" t="s">
        <v>522</v>
      </c>
      <c r="N91" s="6">
        <v>153</v>
      </c>
      <c r="O91" s="11" t="s">
        <v>437</v>
      </c>
      <c r="P91" s="27" t="s">
        <v>523</v>
      </c>
    </row>
    <row r="92" ht="17" spans="1:16">
      <c r="A92" s="3">
        <v>45152</v>
      </c>
      <c r="B92" s="10" t="s">
        <v>49</v>
      </c>
      <c r="C92" s="2" t="s">
        <v>524</v>
      </c>
      <c r="D92" s="4" t="s">
        <v>519</v>
      </c>
      <c r="E92" s="11" t="s">
        <v>424</v>
      </c>
      <c r="F92" s="11" t="s">
        <v>239</v>
      </c>
      <c r="G92" s="15" t="s">
        <v>264</v>
      </c>
      <c r="H92" s="2">
        <v>1318</v>
      </c>
      <c r="I92" s="15" t="s">
        <v>525</v>
      </c>
      <c r="J92" s="2">
        <v>1023</v>
      </c>
      <c r="K92" s="5">
        <v>0.183333333333333</v>
      </c>
      <c r="L92" s="22" t="s">
        <v>450</v>
      </c>
      <c r="M92" s="27" t="s">
        <v>526</v>
      </c>
      <c r="N92" s="6">
        <v>400</v>
      </c>
      <c r="O92" s="11" t="s">
        <v>437</v>
      </c>
      <c r="P92" s="27" t="s">
        <v>527</v>
      </c>
    </row>
    <row r="93" ht="17" spans="1:16">
      <c r="A93" s="3">
        <v>45143</v>
      </c>
      <c r="B93" s="10" t="s">
        <v>49</v>
      </c>
      <c r="C93" s="2" t="s">
        <v>528</v>
      </c>
      <c r="D93" s="4" t="s">
        <v>529</v>
      </c>
      <c r="E93" s="11" t="s">
        <v>290</v>
      </c>
      <c r="F93" s="11" t="s">
        <v>424</v>
      </c>
      <c r="G93" s="15" t="s">
        <v>264</v>
      </c>
      <c r="H93" s="2">
        <v>1434</v>
      </c>
      <c r="I93" s="15" t="s">
        <v>495</v>
      </c>
      <c r="J93" s="2">
        <v>1434</v>
      </c>
      <c r="K93" s="5">
        <v>0.224305555555556</v>
      </c>
      <c r="L93" s="4" t="s">
        <v>530</v>
      </c>
      <c r="M93" s="27" t="s">
        <v>531</v>
      </c>
      <c r="N93" s="6">
        <v>559</v>
      </c>
      <c r="O93" s="11" t="s">
        <v>437</v>
      </c>
      <c r="P93" s="27" t="s">
        <v>527</v>
      </c>
    </row>
    <row r="94" ht="17" spans="1:16">
      <c r="A94" s="3">
        <v>45130</v>
      </c>
      <c r="B94" s="10" t="s">
        <v>49</v>
      </c>
      <c r="C94" s="2" t="s">
        <v>532</v>
      </c>
      <c r="D94" s="4" t="s">
        <v>533</v>
      </c>
      <c r="E94" s="11" t="s">
        <v>534</v>
      </c>
      <c r="F94" s="11" t="s">
        <v>535</v>
      </c>
      <c r="G94" s="15" t="s">
        <v>240</v>
      </c>
      <c r="H94" s="2">
        <v>1549</v>
      </c>
      <c r="I94" s="15" t="s">
        <v>536</v>
      </c>
      <c r="J94" s="2">
        <v>314</v>
      </c>
      <c r="K94" s="5">
        <v>0.0881944444444444</v>
      </c>
      <c r="L94" s="4" t="s">
        <v>537</v>
      </c>
      <c r="M94" s="27" t="s">
        <v>538</v>
      </c>
      <c r="N94" s="6">
        <v>116</v>
      </c>
      <c r="O94" s="11" t="s">
        <v>284</v>
      </c>
      <c r="P94" s="27" t="s">
        <v>539</v>
      </c>
    </row>
    <row r="95" ht="17" spans="1:16">
      <c r="A95" s="3">
        <v>45088</v>
      </c>
      <c r="B95" s="10" t="s">
        <v>49</v>
      </c>
      <c r="C95" s="2" t="s">
        <v>540</v>
      </c>
      <c r="D95" s="4" t="s">
        <v>541</v>
      </c>
      <c r="E95" s="11" t="s">
        <v>424</v>
      </c>
      <c r="F95" s="11" t="s">
        <v>239</v>
      </c>
      <c r="G95" s="11" t="s">
        <v>426</v>
      </c>
      <c r="H95" s="2">
        <v>1318</v>
      </c>
      <c r="I95" s="15" t="s">
        <v>542</v>
      </c>
      <c r="J95" s="2">
        <v>1318</v>
      </c>
      <c r="K95" s="5">
        <v>0.193055555555556</v>
      </c>
      <c r="L95" s="22" t="s">
        <v>543</v>
      </c>
      <c r="M95" s="27" t="s">
        <v>544</v>
      </c>
      <c r="N95" s="6">
        <v>662</v>
      </c>
      <c r="P95" s="27" t="s">
        <v>527</v>
      </c>
    </row>
    <row r="96" ht="17" spans="1:16">
      <c r="A96" s="3">
        <v>45045</v>
      </c>
      <c r="B96" s="10" t="s">
        <v>49</v>
      </c>
      <c r="C96" s="2" t="s">
        <v>545</v>
      </c>
      <c r="D96" s="4" t="s">
        <v>546</v>
      </c>
      <c r="E96" s="11" t="s">
        <v>547</v>
      </c>
      <c r="F96" s="11" t="s">
        <v>548</v>
      </c>
      <c r="G96" s="11" t="s">
        <v>549</v>
      </c>
      <c r="H96" s="2">
        <v>338</v>
      </c>
      <c r="I96" s="15" t="s">
        <v>550</v>
      </c>
      <c r="J96" s="2">
        <v>338</v>
      </c>
      <c r="K96" s="5">
        <v>0.0729166666666667</v>
      </c>
      <c r="L96" s="4" t="s">
        <v>551</v>
      </c>
      <c r="M96" s="27" t="s">
        <v>552</v>
      </c>
      <c r="N96" s="6">
        <v>156</v>
      </c>
      <c r="P96" s="11" t="s">
        <v>553</v>
      </c>
    </row>
    <row r="97" ht="17" spans="1:16">
      <c r="A97" s="3">
        <v>45044</v>
      </c>
      <c r="B97" s="10" t="s">
        <v>49</v>
      </c>
      <c r="C97" s="2" t="s">
        <v>554</v>
      </c>
      <c r="D97" s="4" t="s">
        <v>555</v>
      </c>
      <c r="E97" s="11" t="s">
        <v>548</v>
      </c>
      <c r="F97" s="11" t="s">
        <v>547</v>
      </c>
      <c r="G97" s="11" t="s">
        <v>549</v>
      </c>
      <c r="H97" s="2">
        <v>338</v>
      </c>
      <c r="I97" s="15" t="s">
        <v>556</v>
      </c>
      <c r="J97" s="2">
        <v>338</v>
      </c>
      <c r="K97" s="5">
        <v>0.0923611111111111</v>
      </c>
      <c r="L97" s="29" t="s">
        <v>557</v>
      </c>
      <c r="M97" s="27" t="s">
        <v>558</v>
      </c>
      <c r="N97" s="6">
        <v>170</v>
      </c>
      <c r="P97" s="11" t="s">
        <v>559</v>
      </c>
    </row>
    <row r="98" ht="17" spans="1:16">
      <c r="A98" s="3">
        <v>45004</v>
      </c>
      <c r="B98" s="10" t="s">
        <v>49</v>
      </c>
      <c r="C98" s="2" t="s">
        <v>560</v>
      </c>
      <c r="D98" s="4" t="s">
        <v>561</v>
      </c>
      <c r="E98" s="11" t="s">
        <v>289</v>
      </c>
      <c r="F98" s="11" t="s">
        <v>424</v>
      </c>
      <c r="G98" s="11" t="s">
        <v>426</v>
      </c>
      <c r="H98" s="2">
        <v>804</v>
      </c>
      <c r="I98" s="15" t="s">
        <v>562</v>
      </c>
      <c r="J98" s="2">
        <v>804</v>
      </c>
      <c r="K98" s="5">
        <v>0.140972222222222</v>
      </c>
      <c r="L98" s="22" t="s">
        <v>563</v>
      </c>
      <c r="M98" s="27" t="s">
        <v>564</v>
      </c>
      <c r="N98" s="6">
        <v>336</v>
      </c>
      <c r="P98" s="11" t="s">
        <v>565</v>
      </c>
    </row>
    <row r="99" ht="17" spans="1:16">
      <c r="A99" s="3">
        <v>45003</v>
      </c>
      <c r="B99" s="10" t="s">
        <v>49</v>
      </c>
      <c r="C99" s="2" t="s">
        <v>566</v>
      </c>
      <c r="D99" s="4" t="s">
        <v>567</v>
      </c>
      <c r="E99" s="11" t="s">
        <v>424</v>
      </c>
      <c r="F99" s="11" t="s">
        <v>568</v>
      </c>
      <c r="G99" s="11" t="s">
        <v>569</v>
      </c>
      <c r="H99" s="2">
        <v>819</v>
      </c>
      <c r="I99" s="15" t="s">
        <v>570</v>
      </c>
      <c r="J99" s="2">
        <v>819</v>
      </c>
      <c r="K99" s="5">
        <v>0.159027777777778</v>
      </c>
      <c r="L99" s="22" t="s">
        <v>478</v>
      </c>
      <c r="M99" s="27" t="s">
        <v>571</v>
      </c>
      <c r="N99" s="6">
        <v>349</v>
      </c>
      <c r="P99" s="11" t="s">
        <v>572</v>
      </c>
    </row>
    <row r="100" ht="17" spans="1:16">
      <c r="A100" s="3">
        <v>44964</v>
      </c>
      <c r="B100" s="10" t="s">
        <v>49</v>
      </c>
      <c r="C100" s="2" t="s">
        <v>528</v>
      </c>
      <c r="D100" s="4" t="s">
        <v>529</v>
      </c>
      <c r="E100" s="11" t="s">
        <v>290</v>
      </c>
      <c r="F100" s="11" t="s">
        <v>424</v>
      </c>
      <c r="G100" s="11" t="s">
        <v>426</v>
      </c>
      <c r="H100" s="2">
        <v>1434</v>
      </c>
      <c r="I100" s="15" t="s">
        <v>495</v>
      </c>
      <c r="J100" s="2">
        <v>1434</v>
      </c>
      <c r="K100" s="5">
        <v>0.224305555555556</v>
      </c>
      <c r="L100" s="4" t="s">
        <v>530</v>
      </c>
      <c r="M100" s="27" t="s">
        <v>573</v>
      </c>
      <c r="N100" s="6">
        <v>541</v>
      </c>
      <c r="P100" s="27" t="s">
        <v>574</v>
      </c>
    </row>
    <row r="101" ht="13.5" customHeight="1" spans="1:16">
      <c r="A101" s="3">
        <v>44944</v>
      </c>
      <c r="B101" s="10" t="s">
        <v>39</v>
      </c>
      <c r="C101" s="2" t="s">
        <v>575</v>
      </c>
      <c r="D101" s="4" t="s">
        <v>576</v>
      </c>
      <c r="E101" s="11" t="s">
        <v>441</v>
      </c>
      <c r="F101" s="11" t="s">
        <v>43</v>
      </c>
      <c r="G101" s="15" t="s">
        <v>416</v>
      </c>
      <c r="H101" s="2">
        <v>1338</v>
      </c>
      <c r="I101" s="15" t="s">
        <v>577</v>
      </c>
      <c r="J101" s="2">
        <v>1338</v>
      </c>
      <c r="K101" s="5">
        <v>0.0895833333333333</v>
      </c>
      <c r="L101" s="4" t="s">
        <v>578</v>
      </c>
      <c r="M101" s="2" t="s">
        <v>579</v>
      </c>
      <c r="N101" s="6">
        <v>362</v>
      </c>
      <c r="O101" s="11" t="s">
        <v>580</v>
      </c>
      <c r="P101" s="27" t="s">
        <v>581</v>
      </c>
    </row>
    <row r="102" ht="17" spans="1:16">
      <c r="A102" s="3">
        <v>44796</v>
      </c>
      <c r="B102" s="10" t="s">
        <v>49</v>
      </c>
      <c r="C102" s="2" t="s">
        <v>492</v>
      </c>
      <c r="D102" s="4" t="s">
        <v>493</v>
      </c>
      <c r="E102" s="11" t="s">
        <v>290</v>
      </c>
      <c r="F102" s="11" t="s">
        <v>424</v>
      </c>
      <c r="G102" s="11" t="s">
        <v>569</v>
      </c>
      <c r="H102" s="2">
        <v>1434</v>
      </c>
      <c r="I102" s="15" t="s">
        <v>495</v>
      </c>
      <c r="J102" s="2">
        <v>1434</v>
      </c>
      <c r="K102" s="5">
        <v>0.276388888888889</v>
      </c>
      <c r="L102" s="4" t="s">
        <v>456</v>
      </c>
      <c r="M102" s="27" t="s">
        <v>582</v>
      </c>
      <c r="N102" s="6">
        <v>541</v>
      </c>
      <c r="P102" s="27" t="s">
        <v>583</v>
      </c>
    </row>
    <row r="103" ht="17" spans="1:16">
      <c r="A103" s="3">
        <v>44771</v>
      </c>
      <c r="B103" s="10" t="s">
        <v>49</v>
      </c>
      <c r="C103" s="2" t="s">
        <v>584</v>
      </c>
      <c r="D103" s="4" t="s">
        <v>585</v>
      </c>
      <c r="E103" s="11" t="s">
        <v>586</v>
      </c>
      <c r="F103" s="11" t="s">
        <v>477</v>
      </c>
      <c r="G103" s="11" t="s">
        <v>569</v>
      </c>
      <c r="H103" s="2">
        <v>1857</v>
      </c>
      <c r="I103" s="15" t="s">
        <v>587</v>
      </c>
      <c r="J103" s="2">
        <v>316</v>
      </c>
      <c r="K103" s="5">
        <v>0.100694444444444</v>
      </c>
      <c r="L103" s="4" t="s">
        <v>588</v>
      </c>
      <c r="M103" s="27" t="s">
        <v>589</v>
      </c>
      <c r="N103" s="6">
        <v>130.5</v>
      </c>
      <c r="P103" s="11" t="s">
        <v>590</v>
      </c>
    </row>
    <row r="104" ht="17" spans="1:16">
      <c r="A104" s="3">
        <v>44770</v>
      </c>
      <c r="B104" s="10" t="s">
        <v>49</v>
      </c>
      <c r="C104" s="2" t="s">
        <v>591</v>
      </c>
      <c r="D104" s="4" t="s">
        <v>592</v>
      </c>
      <c r="E104" s="11" t="s">
        <v>593</v>
      </c>
      <c r="F104" s="11" t="s">
        <v>239</v>
      </c>
      <c r="G104" s="11" t="s">
        <v>426</v>
      </c>
      <c r="H104" s="2">
        <v>1083</v>
      </c>
      <c r="I104" s="15" t="s">
        <v>594</v>
      </c>
      <c r="J104" s="2">
        <v>763</v>
      </c>
      <c r="K104" s="5">
        <v>0.142361111111111</v>
      </c>
      <c r="L104" s="4" t="s">
        <v>595</v>
      </c>
      <c r="M104" s="27" t="s">
        <v>596</v>
      </c>
      <c r="N104" s="6">
        <v>338</v>
      </c>
      <c r="P104" s="11" t="s">
        <v>597</v>
      </c>
    </row>
    <row r="105" ht="17" spans="1:16">
      <c r="A105" s="3">
        <v>44769</v>
      </c>
      <c r="B105" s="10" t="s">
        <v>49</v>
      </c>
      <c r="C105" s="2" t="s">
        <v>598</v>
      </c>
      <c r="D105" s="4" t="s">
        <v>599</v>
      </c>
      <c r="E105" s="11" t="s">
        <v>600</v>
      </c>
      <c r="F105" s="11" t="s">
        <v>272</v>
      </c>
      <c r="G105" s="11" t="s">
        <v>426</v>
      </c>
      <c r="H105" s="2">
        <v>2092</v>
      </c>
      <c r="I105" s="15" t="s">
        <v>601</v>
      </c>
      <c r="J105" s="2">
        <v>1169</v>
      </c>
      <c r="K105" s="5">
        <v>0.260416666666667</v>
      </c>
      <c r="L105" s="29" t="s">
        <v>602</v>
      </c>
      <c r="M105" s="27" t="s">
        <v>603</v>
      </c>
      <c r="N105" s="6">
        <v>498.5</v>
      </c>
      <c r="P105" s="11" t="s">
        <v>604</v>
      </c>
    </row>
    <row r="106" ht="17" spans="1:16">
      <c r="A106" s="3">
        <v>44767</v>
      </c>
      <c r="B106" s="10" t="s">
        <v>49</v>
      </c>
      <c r="C106" s="2" t="s">
        <v>605</v>
      </c>
      <c r="D106" s="4" t="s">
        <v>606</v>
      </c>
      <c r="E106" s="11" t="s">
        <v>607</v>
      </c>
      <c r="F106" s="11" t="s">
        <v>600</v>
      </c>
      <c r="G106" s="11" t="s">
        <v>549</v>
      </c>
      <c r="I106" s="15" t="s">
        <v>608</v>
      </c>
      <c r="K106" s="5">
        <v>0.0861111111111111</v>
      </c>
      <c r="L106" s="4" t="s">
        <v>609</v>
      </c>
      <c r="M106" s="27" t="s">
        <v>610</v>
      </c>
      <c r="N106" s="6">
        <v>212.5</v>
      </c>
      <c r="P106" s="11" t="s">
        <v>611</v>
      </c>
    </row>
    <row r="107" ht="17" spans="1:16">
      <c r="A107" s="3">
        <v>44765</v>
      </c>
      <c r="B107" s="10" t="s">
        <v>49</v>
      </c>
      <c r="C107" s="2" t="s">
        <v>612</v>
      </c>
      <c r="D107" s="4" t="s">
        <v>613</v>
      </c>
      <c r="E107" s="11" t="s">
        <v>614</v>
      </c>
      <c r="F107" s="11" t="s">
        <v>615</v>
      </c>
      <c r="G107" s="11" t="s">
        <v>616</v>
      </c>
      <c r="I107" s="15" t="s">
        <v>617</v>
      </c>
      <c r="K107" s="5">
        <v>0.0923611111111111</v>
      </c>
      <c r="L107" s="4" t="s">
        <v>59</v>
      </c>
      <c r="M107" s="27" t="s">
        <v>618</v>
      </c>
      <c r="N107" s="6">
        <v>139</v>
      </c>
      <c r="P107" s="11" t="s">
        <v>619</v>
      </c>
    </row>
    <row r="108" ht="17" spans="1:16">
      <c r="A108" s="3">
        <v>44763</v>
      </c>
      <c r="B108" s="10" t="s">
        <v>49</v>
      </c>
      <c r="C108" s="13" t="s">
        <v>620</v>
      </c>
      <c r="D108" s="4" t="s">
        <v>621</v>
      </c>
      <c r="E108" s="11" t="s">
        <v>607</v>
      </c>
      <c r="F108" s="11" t="s">
        <v>622</v>
      </c>
      <c r="G108" s="11" t="s">
        <v>569</v>
      </c>
      <c r="H108" s="2">
        <v>299</v>
      </c>
      <c r="I108" s="15" t="s">
        <v>623</v>
      </c>
      <c r="J108" s="2">
        <v>299</v>
      </c>
      <c r="K108" s="5">
        <v>0.0541666666666667</v>
      </c>
      <c r="L108" s="4" t="s">
        <v>624</v>
      </c>
      <c r="M108" s="27" t="s">
        <v>625</v>
      </c>
      <c r="N108" s="6">
        <v>164</v>
      </c>
      <c r="P108" s="11" t="s">
        <v>626</v>
      </c>
    </row>
    <row r="109" ht="17" spans="1:16">
      <c r="A109" s="3">
        <v>44762</v>
      </c>
      <c r="B109" s="10" t="s">
        <v>16</v>
      </c>
      <c r="C109" s="13"/>
      <c r="D109" s="4" t="s">
        <v>627</v>
      </c>
      <c r="E109" s="11" t="s">
        <v>628</v>
      </c>
      <c r="F109" s="11" t="s">
        <v>629</v>
      </c>
      <c r="G109" s="11" t="s">
        <v>627</v>
      </c>
      <c r="I109" s="15" t="s">
        <v>630</v>
      </c>
      <c r="N109" s="6" t="s">
        <v>59</v>
      </c>
      <c r="P109" s="11" t="s">
        <v>631</v>
      </c>
    </row>
    <row r="110" ht="17" spans="1:16">
      <c r="A110" s="3">
        <v>44761</v>
      </c>
      <c r="B110" s="10" t="s">
        <v>16</v>
      </c>
      <c r="C110" s="13"/>
      <c r="D110" s="4" t="s">
        <v>627</v>
      </c>
      <c r="E110" s="11" t="s">
        <v>628</v>
      </c>
      <c r="F110" s="11" t="s">
        <v>629</v>
      </c>
      <c r="G110" s="11" t="s">
        <v>627</v>
      </c>
      <c r="I110" s="15" t="s">
        <v>632</v>
      </c>
      <c r="N110" s="6" t="s">
        <v>59</v>
      </c>
      <c r="P110" s="11" t="s">
        <v>633</v>
      </c>
    </row>
    <row r="111" ht="17" spans="1:16">
      <c r="A111" s="3">
        <v>44760</v>
      </c>
      <c r="B111" s="10" t="s">
        <v>16</v>
      </c>
      <c r="C111" s="13"/>
      <c r="D111" s="4" t="s">
        <v>627</v>
      </c>
      <c r="E111" s="11" t="s">
        <v>628</v>
      </c>
      <c r="F111" s="11" t="s">
        <v>629</v>
      </c>
      <c r="G111" s="11" t="s">
        <v>627</v>
      </c>
      <c r="I111" s="15" t="s">
        <v>634</v>
      </c>
      <c r="N111" s="6" t="s">
        <v>59</v>
      </c>
      <c r="P111" s="11" t="s">
        <v>635</v>
      </c>
    </row>
    <row r="112" ht="17" spans="1:16">
      <c r="A112" s="3">
        <v>44760</v>
      </c>
      <c r="B112" s="10" t="s">
        <v>16</v>
      </c>
      <c r="C112" s="13"/>
      <c r="D112" s="4" t="s">
        <v>627</v>
      </c>
      <c r="E112" s="11" t="s">
        <v>629</v>
      </c>
      <c r="F112" s="11" t="s">
        <v>628</v>
      </c>
      <c r="G112" s="11" t="s">
        <v>627</v>
      </c>
      <c r="I112" s="15" t="s">
        <v>636</v>
      </c>
      <c r="N112" s="6" t="s">
        <v>59</v>
      </c>
      <c r="P112" s="11" t="s">
        <v>637</v>
      </c>
    </row>
    <row r="113" ht="17" spans="1:16">
      <c r="A113" s="3">
        <v>44759</v>
      </c>
      <c r="B113" s="10" t="s">
        <v>16</v>
      </c>
      <c r="C113" s="13"/>
      <c r="D113" s="4" t="s">
        <v>627</v>
      </c>
      <c r="E113" s="11" t="s">
        <v>629</v>
      </c>
      <c r="F113" s="11" t="s">
        <v>628</v>
      </c>
      <c r="G113" s="11" t="s">
        <v>627</v>
      </c>
      <c r="I113" s="15" t="s">
        <v>638</v>
      </c>
      <c r="N113" s="6" t="s">
        <v>59</v>
      </c>
      <c r="P113" s="28" t="s">
        <v>639</v>
      </c>
    </row>
    <row r="114" ht="17" spans="1:16">
      <c r="A114" s="3">
        <v>44758</v>
      </c>
      <c r="B114" s="10" t="s">
        <v>16</v>
      </c>
      <c r="C114" s="13"/>
      <c r="D114" s="4" t="s">
        <v>627</v>
      </c>
      <c r="E114" s="11" t="s">
        <v>629</v>
      </c>
      <c r="F114" s="11" t="s">
        <v>628</v>
      </c>
      <c r="G114" s="11" t="s">
        <v>627</v>
      </c>
      <c r="I114" s="15" t="s">
        <v>640</v>
      </c>
      <c r="N114" s="6" t="s">
        <v>59</v>
      </c>
      <c r="P114" s="11" t="s">
        <v>641</v>
      </c>
    </row>
    <row r="115" ht="17" spans="1:16">
      <c r="A115" s="3">
        <v>44757</v>
      </c>
      <c r="B115" s="10" t="s">
        <v>16</v>
      </c>
      <c r="C115" s="13"/>
      <c r="D115" s="4" t="s">
        <v>627</v>
      </c>
      <c r="E115" s="11" t="s">
        <v>642</v>
      </c>
      <c r="F115" s="11" t="s">
        <v>629</v>
      </c>
      <c r="G115" s="11" t="s">
        <v>627</v>
      </c>
      <c r="I115" s="15" t="s">
        <v>643</v>
      </c>
      <c r="N115" s="6" t="s">
        <v>59</v>
      </c>
      <c r="P115" s="11" t="s">
        <v>644</v>
      </c>
    </row>
    <row r="116" ht="17" spans="1:16">
      <c r="A116" s="3">
        <v>44755</v>
      </c>
      <c r="B116" s="10" t="s">
        <v>16</v>
      </c>
      <c r="C116" s="13"/>
      <c r="D116" s="4" t="s">
        <v>627</v>
      </c>
      <c r="E116" s="11" t="s">
        <v>629</v>
      </c>
      <c r="F116" s="11" t="s">
        <v>642</v>
      </c>
      <c r="G116" s="11" t="s">
        <v>627</v>
      </c>
      <c r="I116" s="15" t="s">
        <v>645</v>
      </c>
      <c r="N116" s="6" t="s">
        <v>59</v>
      </c>
      <c r="P116" s="11" t="s">
        <v>646</v>
      </c>
    </row>
    <row r="117" ht="17" spans="1:16">
      <c r="A117" s="3">
        <v>44751</v>
      </c>
      <c r="B117" s="10" t="s">
        <v>39</v>
      </c>
      <c r="C117" s="2" t="s">
        <v>647</v>
      </c>
      <c r="D117" s="4" t="s">
        <v>648</v>
      </c>
      <c r="E117" s="11" t="s">
        <v>43</v>
      </c>
      <c r="F117" s="11" t="s">
        <v>649</v>
      </c>
      <c r="G117" s="15" t="s">
        <v>650</v>
      </c>
      <c r="H117" s="2">
        <v>1803</v>
      </c>
      <c r="I117" s="15" t="s">
        <v>651</v>
      </c>
      <c r="J117" s="2">
        <v>1803</v>
      </c>
      <c r="K117" s="5">
        <v>0.101388888888889</v>
      </c>
      <c r="L117" s="4" t="s">
        <v>652</v>
      </c>
      <c r="M117" s="2" t="s">
        <v>653</v>
      </c>
      <c r="N117" s="6">
        <v>920</v>
      </c>
      <c r="O117" s="11" t="s">
        <v>654</v>
      </c>
      <c r="P117" s="11" t="s">
        <v>655</v>
      </c>
    </row>
    <row r="118" ht="17" spans="1:16">
      <c r="A118" s="3">
        <v>44744</v>
      </c>
      <c r="B118" s="10" t="s">
        <v>49</v>
      </c>
      <c r="C118" s="2" t="s">
        <v>656</v>
      </c>
      <c r="D118" s="4" t="s">
        <v>657</v>
      </c>
      <c r="E118" s="11" t="s">
        <v>424</v>
      </c>
      <c r="F118" s="11" t="s">
        <v>290</v>
      </c>
      <c r="G118" s="11" t="s">
        <v>426</v>
      </c>
      <c r="H118" s="2">
        <v>1434</v>
      </c>
      <c r="I118" s="15" t="s">
        <v>658</v>
      </c>
      <c r="J118" s="2">
        <v>1434</v>
      </c>
      <c r="K118" s="5">
        <v>0.220833333333333</v>
      </c>
      <c r="L118" s="4" t="s">
        <v>659</v>
      </c>
      <c r="M118" s="27" t="s">
        <v>660</v>
      </c>
      <c r="N118" s="6">
        <v>541</v>
      </c>
      <c r="P118" s="27" t="s">
        <v>661</v>
      </c>
    </row>
    <row r="119" ht="17" spans="1:16">
      <c r="A119" s="3">
        <v>44598</v>
      </c>
      <c r="B119" s="10" t="s">
        <v>39</v>
      </c>
      <c r="C119" s="13" t="s">
        <v>662</v>
      </c>
      <c r="D119" s="4" t="s">
        <v>663</v>
      </c>
      <c r="E119" s="11" t="s">
        <v>664</v>
      </c>
      <c r="F119" s="11" t="s">
        <v>441</v>
      </c>
      <c r="G119" s="15" t="s">
        <v>442</v>
      </c>
      <c r="H119" s="2">
        <v>1178</v>
      </c>
      <c r="I119" s="15" t="s">
        <v>665</v>
      </c>
      <c r="J119" s="2">
        <v>1178</v>
      </c>
      <c r="K119" s="5">
        <v>0.0770833333333333</v>
      </c>
      <c r="L119" s="4" t="s">
        <v>666</v>
      </c>
      <c r="M119" s="2" t="s">
        <v>667</v>
      </c>
      <c r="N119" s="6">
        <v>380</v>
      </c>
      <c r="O119" s="11" t="s">
        <v>312</v>
      </c>
      <c r="P119" s="27" t="s">
        <v>668</v>
      </c>
    </row>
    <row r="120" ht="17" spans="1:16">
      <c r="A120" s="3">
        <v>44590</v>
      </c>
      <c r="B120" s="10" t="s">
        <v>39</v>
      </c>
      <c r="C120" s="13" t="s">
        <v>669</v>
      </c>
      <c r="D120" s="4" t="s">
        <v>670</v>
      </c>
      <c r="E120" s="11" t="s">
        <v>671</v>
      </c>
      <c r="F120" s="11" t="s">
        <v>43</v>
      </c>
      <c r="G120" s="15" t="s">
        <v>442</v>
      </c>
      <c r="H120" s="2">
        <v>1338</v>
      </c>
      <c r="I120" s="15" t="s">
        <v>672</v>
      </c>
      <c r="J120" s="2">
        <v>1338</v>
      </c>
      <c r="K120" s="5">
        <v>0.0819444444444444</v>
      </c>
      <c r="L120" s="4" t="s">
        <v>673</v>
      </c>
      <c r="M120" s="4" t="s">
        <v>674</v>
      </c>
      <c r="N120" s="6">
        <v>470</v>
      </c>
      <c r="O120" s="11" t="s">
        <v>259</v>
      </c>
      <c r="P120" s="27" t="s">
        <v>581</v>
      </c>
    </row>
    <row r="121" ht="17" spans="1:16">
      <c r="A121" s="3">
        <v>44389</v>
      </c>
      <c r="B121" s="10" t="s">
        <v>39</v>
      </c>
      <c r="C121" s="13" t="s">
        <v>675</v>
      </c>
      <c r="D121" s="4" t="s">
        <v>676</v>
      </c>
      <c r="E121" s="11" t="s">
        <v>677</v>
      </c>
      <c r="F121" s="11" t="s">
        <v>671</v>
      </c>
      <c r="G121" s="15" t="s">
        <v>678</v>
      </c>
      <c r="H121" s="2">
        <v>2842</v>
      </c>
      <c r="I121" s="15" t="s">
        <v>679</v>
      </c>
      <c r="J121" s="2">
        <v>2842</v>
      </c>
      <c r="K121" s="5">
        <v>0.134722222222222</v>
      </c>
      <c r="L121" s="4" t="s">
        <v>680</v>
      </c>
      <c r="M121" s="2" t="s">
        <v>681</v>
      </c>
      <c r="N121" s="6">
        <v>860</v>
      </c>
      <c r="O121" s="11" t="s">
        <v>464</v>
      </c>
      <c r="P121" s="11" t="s">
        <v>682</v>
      </c>
    </row>
    <row r="122" ht="17" spans="1:16">
      <c r="A122" s="3">
        <v>44387</v>
      </c>
      <c r="B122" s="10" t="s">
        <v>39</v>
      </c>
      <c r="C122" s="13" t="s">
        <v>683</v>
      </c>
      <c r="D122" s="4" t="s">
        <v>684</v>
      </c>
      <c r="E122" s="11" t="s">
        <v>685</v>
      </c>
      <c r="F122" s="11" t="s">
        <v>677</v>
      </c>
      <c r="G122" s="15" t="s">
        <v>442</v>
      </c>
      <c r="H122" s="2">
        <v>1311</v>
      </c>
      <c r="I122" s="15" t="s">
        <v>686</v>
      </c>
      <c r="J122" s="2">
        <v>1311</v>
      </c>
      <c r="K122" s="5">
        <v>0.0743055555555556</v>
      </c>
      <c r="L122" s="4" t="s">
        <v>230</v>
      </c>
      <c r="M122" s="2" t="s">
        <v>47</v>
      </c>
      <c r="N122" s="6">
        <v>420</v>
      </c>
      <c r="O122" s="11" t="s">
        <v>259</v>
      </c>
      <c r="P122" s="11" t="s">
        <v>687</v>
      </c>
    </row>
    <row r="123" ht="17" spans="1:16">
      <c r="A123" s="3">
        <v>44385</v>
      </c>
      <c r="B123" s="10" t="s">
        <v>16</v>
      </c>
      <c r="C123" s="13"/>
      <c r="D123" s="4" t="s">
        <v>627</v>
      </c>
      <c r="E123" s="11" t="s">
        <v>688</v>
      </c>
      <c r="F123" s="11" t="s">
        <v>689</v>
      </c>
      <c r="G123" s="11" t="s">
        <v>59</v>
      </c>
      <c r="H123" s="2">
        <v>292</v>
      </c>
      <c r="I123" s="15" t="s">
        <v>690</v>
      </c>
      <c r="J123" s="2">
        <v>292</v>
      </c>
      <c r="L123" s="4" t="s">
        <v>59</v>
      </c>
      <c r="M123" s="2" t="s">
        <v>59</v>
      </c>
      <c r="N123" s="6" t="s">
        <v>59</v>
      </c>
      <c r="O123" s="11" t="s">
        <v>59</v>
      </c>
      <c r="P123" s="11"/>
    </row>
    <row r="124" ht="17" spans="1:16">
      <c r="A124" s="3">
        <v>44384</v>
      </c>
      <c r="B124" s="10" t="s">
        <v>16</v>
      </c>
      <c r="C124" s="13"/>
      <c r="D124" s="4" t="s">
        <v>627</v>
      </c>
      <c r="E124" s="11" t="s">
        <v>689</v>
      </c>
      <c r="F124" s="11" t="s">
        <v>688</v>
      </c>
      <c r="G124" s="11" t="s">
        <v>59</v>
      </c>
      <c r="H124" s="2">
        <v>292</v>
      </c>
      <c r="I124" s="15" t="s">
        <v>691</v>
      </c>
      <c r="J124" s="2">
        <v>292</v>
      </c>
      <c r="L124" s="4" t="s">
        <v>59</v>
      </c>
      <c r="M124" s="2" t="s">
        <v>59</v>
      </c>
      <c r="N124" s="6" t="s">
        <v>59</v>
      </c>
      <c r="O124" s="11" t="s">
        <v>59</v>
      </c>
      <c r="P124" s="11"/>
    </row>
    <row r="125" ht="17" spans="1:16">
      <c r="A125" s="3">
        <v>44382</v>
      </c>
      <c r="B125" s="10" t="s">
        <v>39</v>
      </c>
      <c r="C125" s="13" t="s">
        <v>692</v>
      </c>
      <c r="D125" s="4" t="s">
        <v>693</v>
      </c>
      <c r="E125" s="11" t="s">
        <v>671</v>
      </c>
      <c r="F125" s="11" t="s">
        <v>685</v>
      </c>
      <c r="G125" s="15" t="s">
        <v>442</v>
      </c>
      <c r="H125" s="2">
        <v>3752</v>
      </c>
      <c r="I125" s="15" t="s">
        <v>694</v>
      </c>
      <c r="J125" s="2">
        <v>3752</v>
      </c>
      <c r="K125" s="5">
        <v>0.284027777777778</v>
      </c>
      <c r="L125" s="4" t="s">
        <v>695</v>
      </c>
      <c r="M125" s="2" t="s">
        <v>696</v>
      </c>
      <c r="N125" s="6">
        <v>1740</v>
      </c>
      <c r="O125" s="11" t="s">
        <v>259</v>
      </c>
      <c r="P125" s="11" t="s">
        <v>697</v>
      </c>
    </row>
    <row r="126" ht="17" spans="1:16">
      <c r="A126" s="3">
        <v>44376</v>
      </c>
      <c r="B126" s="10" t="s">
        <v>49</v>
      </c>
      <c r="C126" s="13" t="s">
        <v>698</v>
      </c>
      <c r="D126" s="4" t="s">
        <v>493</v>
      </c>
      <c r="E126" s="11" t="s">
        <v>290</v>
      </c>
      <c r="F126" s="11" t="s">
        <v>424</v>
      </c>
      <c r="G126" s="11" t="s">
        <v>569</v>
      </c>
      <c r="H126" s="2">
        <v>1434</v>
      </c>
      <c r="I126" s="15" t="s">
        <v>495</v>
      </c>
      <c r="J126" s="2">
        <v>1434</v>
      </c>
      <c r="K126" s="5">
        <v>0.276388888888889</v>
      </c>
      <c r="L126" s="4" t="s">
        <v>496</v>
      </c>
      <c r="M126" s="27" t="s">
        <v>699</v>
      </c>
      <c r="N126" s="6">
        <v>541</v>
      </c>
      <c r="P126" s="27" t="s">
        <v>700</v>
      </c>
    </row>
    <row r="127" ht="17" spans="1:9">
      <c r="A127" s="3">
        <v>44368</v>
      </c>
      <c r="B127" s="10" t="s">
        <v>701</v>
      </c>
      <c r="C127" s="13"/>
      <c r="D127" s="15" t="s">
        <v>702</v>
      </c>
      <c r="E127" s="11" t="s">
        <v>703</v>
      </c>
      <c r="F127" s="11" t="s">
        <v>704</v>
      </c>
      <c r="G127" s="15" t="s">
        <v>702</v>
      </c>
      <c r="I127" s="15" t="s">
        <v>705</v>
      </c>
    </row>
    <row r="128" ht="17" spans="1:16">
      <c r="A128" s="3">
        <v>44364</v>
      </c>
      <c r="B128" s="10" t="s">
        <v>49</v>
      </c>
      <c r="C128" s="2" t="s">
        <v>706</v>
      </c>
      <c r="D128" s="4" t="s">
        <v>707</v>
      </c>
      <c r="E128" s="11" t="s">
        <v>424</v>
      </c>
      <c r="F128" s="11" t="s">
        <v>239</v>
      </c>
      <c r="G128" s="11" t="s">
        <v>426</v>
      </c>
      <c r="H128" s="2">
        <v>1318</v>
      </c>
      <c r="I128" s="15" t="s">
        <v>542</v>
      </c>
      <c r="J128" s="2">
        <v>1318</v>
      </c>
      <c r="K128" s="5">
        <v>0.248611111111111</v>
      </c>
      <c r="L128" s="4" t="s">
        <v>659</v>
      </c>
      <c r="M128" s="27" t="s">
        <v>708</v>
      </c>
      <c r="N128" s="6">
        <v>526</v>
      </c>
      <c r="P128" s="11" t="s">
        <v>709</v>
      </c>
    </row>
    <row r="129" ht="17" spans="1:16">
      <c r="A129" s="3">
        <v>44261</v>
      </c>
      <c r="B129" s="10" t="s">
        <v>49</v>
      </c>
      <c r="C129" s="2" t="s">
        <v>710</v>
      </c>
      <c r="D129" s="4" t="s">
        <v>711</v>
      </c>
      <c r="E129" s="11" t="s">
        <v>290</v>
      </c>
      <c r="F129" s="11" t="s">
        <v>424</v>
      </c>
      <c r="H129" s="2">
        <v>1434</v>
      </c>
      <c r="I129" s="15" t="s">
        <v>495</v>
      </c>
      <c r="J129" s="2">
        <v>1434</v>
      </c>
      <c r="L129" s="4" t="s">
        <v>712</v>
      </c>
      <c r="M129" s="27" t="s">
        <v>713</v>
      </c>
      <c r="N129" s="6">
        <v>541</v>
      </c>
      <c r="P129" s="27" t="s">
        <v>714</v>
      </c>
    </row>
    <row r="130" ht="17" spans="1:16">
      <c r="A130" s="3">
        <v>44231</v>
      </c>
      <c r="B130" s="10" t="s">
        <v>39</v>
      </c>
      <c r="C130" s="2" t="s">
        <v>715</v>
      </c>
      <c r="D130" s="4" t="s">
        <v>716</v>
      </c>
      <c r="E130" s="11" t="s">
        <v>671</v>
      </c>
      <c r="F130" s="11" t="s">
        <v>43</v>
      </c>
      <c r="G130" s="15" t="s">
        <v>416</v>
      </c>
      <c r="H130" s="2">
        <v>1338</v>
      </c>
      <c r="I130" s="15" t="s">
        <v>717</v>
      </c>
      <c r="J130" s="2">
        <v>1338</v>
      </c>
      <c r="K130" s="5">
        <v>0.0847222222222222</v>
      </c>
      <c r="L130" s="4" t="s">
        <v>718</v>
      </c>
      <c r="M130" s="2" t="s">
        <v>719</v>
      </c>
      <c r="N130" s="6">
        <v>370</v>
      </c>
      <c r="O130" s="11" t="s">
        <v>580</v>
      </c>
      <c r="P130" s="27" t="s">
        <v>720</v>
      </c>
    </row>
    <row r="131" ht="17" spans="1:16">
      <c r="A131" s="3">
        <v>44087</v>
      </c>
      <c r="B131" s="10" t="s">
        <v>49</v>
      </c>
      <c r="C131" s="2" t="s">
        <v>721</v>
      </c>
      <c r="D131" s="4" t="s">
        <v>711</v>
      </c>
      <c r="E131" s="11" t="s">
        <v>290</v>
      </c>
      <c r="F131" s="11" t="s">
        <v>424</v>
      </c>
      <c r="H131" s="2">
        <v>1434</v>
      </c>
      <c r="I131" s="15" t="s">
        <v>495</v>
      </c>
      <c r="J131" s="2">
        <v>1434</v>
      </c>
      <c r="K131" s="5">
        <v>0.279166666666667</v>
      </c>
      <c r="L131" s="4" t="s">
        <v>722</v>
      </c>
      <c r="M131" s="27" t="s">
        <v>660</v>
      </c>
      <c r="N131" s="6">
        <v>446.5</v>
      </c>
      <c r="P131" s="27" t="s">
        <v>723</v>
      </c>
    </row>
    <row r="132" ht="17" spans="1:16">
      <c r="A132" s="3">
        <v>44080</v>
      </c>
      <c r="B132" s="10" t="s">
        <v>39</v>
      </c>
      <c r="C132" s="2" t="s">
        <v>724</v>
      </c>
      <c r="D132" s="4" t="s">
        <v>725</v>
      </c>
      <c r="E132" s="11" t="s">
        <v>649</v>
      </c>
      <c r="F132" s="11" t="s">
        <v>43</v>
      </c>
      <c r="G132" s="15" t="s">
        <v>726</v>
      </c>
      <c r="I132" s="15" t="s">
        <v>727</v>
      </c>
      <c r="K132" s="5">
        <v>0.121527777777778</v>
      </c>
      <c r="N132" s="6">
        <v>560</v>
      </c>
      <c r="O132" s="11" t="s">
        <v>48</v>
      </c>
      <c r="P132" s="11" t="s">
        <v>728</v>
      </c>
    </row>
    <row r="133" ht="17" spans="1:16">
      <c r="A133" s="3">
        <v>44077</v>
      </c>
      <c r="B133" s="10" t="s">
        <v>39</v>
      </c>
      <c r="C133" s="2" t="s">
        <v>729</v>
      </c>
      <c r="D133" s="4" t="s">
        <v>730</v>
      </c>
      <c r="E133" s="11" t="s">
        <v>731</v>
      </c>
      <c r="F133" s="11" t="s">
        <v>649</v>
      </c>
      <c r="G133" s="15" t="s">
        <v>308</v>
      </c>
      <c r="H133" s="2">
        <v>1334</v>
      </c>
      <c r="I133" s="15" t="s">
        <v>732</v>
      </c>
      <c r="J133" s="2">
        <v>1334</v>
      </c>
      <c r="K133" s="5">
        <v>0.0805555555555556</v>
      </c>
      <c r="L133" s="4" t="s">
        <v>733</v>
      </c>
      <c r="M133" s="2" t="s">
        <v>734</v>
      </c>
      <c r="N133" s="6">
        <v>1020</v>
      </c>
      <c r="O133" s="11" t="s">
        <v>735</v>
      </c>
      <c r="P133" s="11" t="s">
        <v>736</v>
      </c>
    </row>
    <row r="134" ht="17" spans="1:16">
      <c r="A134" s="3">
        <v>44075</v>
      </c>
      <c r="B134" s="10" t="s">
        <v>49</v>
      </c>
      <c r="C134" s="2" t="s">
        <v>737</v>
      </c>
      <c r="D134" s="4" t="s">
        <v>738</v>
      </c>
      <c r="E134" s="11" t="s">
        <v>739</v>
      </c>
      <c r="F134" s="11" t="s">
        <v>740</v>
      </c>
      <c r="G134" s="11" t="s">
        <v>741</v>
      </c>
      <c r="H134" s="2">
        <v>248</v>
      </c>
      <c r="I134" s="15" t="s">
        <v>742</v>
      </c>
      <c r="J134" s="2">
        <v>248</v>
      </c>
      <c r="K134" s="5">
        <v>0.120138888888889</v>
      </c>
      <c r="L134" s="4" t="s">
        <v>59</v>
      </c>
      <c r="M134" s="15" t="s">
        <v>743</v>
      </c>
      <c r="N134" s="6">
        <v>40.5</v>
      </c>
      <c r="P134" s="11" t="s">
        <v>744</v>
      </c>
    </row>
    <row r="135" ht="17" spans="1:16">
      <c r="A135" s="3">
        <v>44075</v>
      </c>
      <c r="B135" s="10" t="s">
        <v>16</v>
      </c>
      <c r="D135" s="11" t="s">
        <v>627</v>
      </c>
      <c r="E135" s="11" t="s">
        <v>745</v>
      </c>
      <c r="F135" s="11" t="s">
        <v>739</v>
      </c>
      <c r="G135" s="11" t="s">
        <v>627</v>
      </c>
      <c r="I135" s="15" t="s">
        <v>746</v>
      </c>
      <c r="L135" s="4" t="s">
        <v>59</v>
      </c>
      <c r="M135" s="11" t="s">
        <v>59</v>
      </c>
      <c r="N135" s="6" t="s">
        <v>59</v>
      </c>
      <c r="O135" s="2" t="s">
        <v>59</v>
      </c>
      <c r="P135" s="11"/>
    </row>
    <row r="136" ht="17" spans="1:16">
      <c r="A136" s="3">
        <v>44074</v>
      </c>
      <c r="B136" s="10" t="s">
        <v>16</v>
      </c>
      <c r="D136" s="11" t="s">
        <v>627</v>
      </c>
      <c r="E136" s="11" t="s">
        <v>739</v>
      </c>
      <c r="F136" s="11" t="s">
        <v>745</v>
      </c>
      <c r="G136" s="11" t="s">
        <v>627</v>
      </c>
      <c r="I136" s="15" t="s">
        <v>747</v>
      </c>
      <c r="L136" s="4" t="s">
        <v>59</v>
      </c>
      <c r="M136" s="11" t="s">
        <v>59</v>
      </c>
      <c r="N136" s="6" t="s">
        <v>59</v>
      </c>
      <c r="O136" s="2" t="s">
        <v>59</v>
      </c>
      <c r="P136" s="11" t="s">
        <v>748</v>
      </c>
    </row>
    <row r="137" ht="17" spans="1:16">
      <c r="A137" s="3">
        <v>44073</v>
      </c>
      <c r="B137" s="10" t="s">
        <v>16</v>
      </c>
      <c r="D137" s="11" t="s">
        <v>627</v>
      </c>
      <c r="E137" s="11" t="s">
        <v>740</v>
      </c>
      <c r="F137" s="11" t="s">
        <v>739</v>
      </c>
      <c r="G137" s="11" t="s">
        <v>627</v>
      </c>
      <c r="I137" s="15" t="s">
        <v>749</v>
      </c>
      <c r="L137" s="4" t="s">
        <v>59</v>
      </c>
      <c r="M137" s="11" t="s">
        <v>59</v>
      </c>
      <c r="N137" s="6" t="s">
        <v>59</v>
      </c>
      <c r="O137" s="2" t="s">
        <v>59</v>
      </c>
      <c r="P137" s="11" t="s">
        <v>750</v>
      </c>
    </row>
    <row r="138" ht="17" spans="1:16">
      <c r="A138" s="3">
        <v>44072</v>
      </c>
      <c r="B138" s="10" t="s">
        <v>16</v>
      </c>
      <c r="D138" s="11" t="s">
        <v>627</v>
      </c>
      <c r="E138" s="11" t="s">
        <v>751</v>
      </c>
      <c r="F138" s="11" t="s">
        <v>740</v>
      </c>
      <c r="G138" s="11" t="s">
        <v>627</v>
      </c>
      <c r="I138" s="15" t="s">
        <v>752</v>
      </c>
      <c r="L138" s="4" t="s">
        <v>59</v>
      </c>
      <c r="M138" s="11" t="s">
        <v>59</v>
      </c>
      <c r="N138" s="6" t="s">
        <v>59</v>
      </c>
      <c r="O138" s="2" t="s">
        <v>59</v>
      </c>
      <c r="P138" s="11" t="s">
        <v>753</v>
      </c>
    </row>
    <row r="139" ht="17" spans="1:16">
      <c r="A139" s="3">
        <v>44071</v>
      </c>
      <c r="B139" s="10" t="s">
        <v>16</v>
      </c>
      <c r="D139" s="11" t="s">
        <v>627</v>
      </c>
      <c r="E139" s="11" t="s">
        <v>740</v>
      </c>
      <c r="F139" s="11" t="s">
        <v>751</v>
      </c>
      <c r="G139" s="11" t="s">
        <v>627</v>
      </c>
      <c r="I139" s="15" t="s">
        <v>754</v>
      </c>
      <c r="L139" s="4" t="s">
        <v>59</v>
      </c>
      <c r="M139" s="11" t="s">
        <v>59</v>
      </c>
      <c r="N139" s="6" t="s">
        <v>59</v>
      </c>
      <c r="O139" s="2" t="s">
        <v>59</v>
      </c>
      <c r="P139" s="11" t="s">
        <v>755</v>
      </c>
    </row>
    <row r="140" ht="17" spans="1:16">
      <c r="A140" s="3">
        <v>44066</v>
      </c>
      <c r="B140" s="10" t="s">
        <v>49</v>
      </c>
      <c r="C140" s="2" t="s">
        <v>756</v>
      </c>
      <c r="D140" s="4" t="s">
        <v>757</v>
      </c>
      <c r="E140" s="11" t="s">
        <v>500</v>
      </c>
      <c r="F140" s="11" t="s">
        <v>740</v>
      </c>
      <c r="G140" s="11" t="s">
        <v>758</v>
      </c>
      <c r="H140" s="2">
        <v>4373</v>
      </c>
      <c r="I140" s="15" t="s">
        <v>759</v>
      </c>
      <c r="J140" s="2">
        <v>4373</v>
      </c>
      <c r="K140" s="21" t="s">
        <v>760</v>
      </c>
      <c r="L140" s="29" t="s">
        <v>761</v>
      </c>
      <c r="M140" s="27" t="s">
        <v>762</v>
      </c>
      <c r="N140" s="6">
        <v>793.5</v>
      </c>
      <c r="P140" s="11" t="s">
        <v>763</v>
      </c>
    </row>
    <row r="141" ht="17" spans="1:16">
      <c r="A141" s="3">
        <v>44066</v>
      </c>
      <c r="B141" s="10" t="s">
        <v>49</v>
      </c>
      <c r="C141" s="2" t="s">
        <v>764</v>
      </c>
      <c r="D141" s="4" t="s">
        <v>765</v>
      </c>
      <c r="E141" s="11" t="s">
        <v>766</v>
      </c>
      <c r="F141" s="11" t="s">
        <v>239</v>
      </c>
      <c r="G141" s="11" t="s">
        <v>426</v>
      </c>
      <c r="H141" s="2">
        <v>490</v>
      </c>
      <c r="I141" s="15" t="s">
        <v>767</v>
      </c>
      <c r="J141" s="2">
        <v>314</v>
      </c>
      <c r="K141" s="5">
        <v>0.0791666666666667</v>
      </c>
      <c r="L141" s="4" t="s">
        <v>419</v>
      </c>
      <c r="M141" s="27" t="s">
        <v>768</v>
      </c>
      <c r="N141" s="6">
        <v>144</v>
      </c>
      <c r="P141" s="11" t="s">
        <v>769</v>
      </c>
    </row>
    <row r="142" ht="17" spans="1:16">
      <c r="A142" s="3">
        <v>44038</v>
      </c>
      <c r="B142" s="10" t="s">
        <v>49</v>
      </c>
      <c r="C142" s="13" t="s">
        <v>770</v>
      </c>
      <c r="D142" s="4" t="s">
        <v>771</v>
      </c>
      <c r="E142" s="11" t="s">
        <v>772</v>
      </c>
      <c r="F142" s="11" t="s">
        <v>290</v>
      </c>
      <c r="G142" s="11" t="s">
        <v>426</v>
      </c>
      <c r="H142" s="2">
        <v>479</v>
      </c>
      <c r="I142" s="15" t="s">
        <v>773</v>
      </c>
      <c r="J142" s="2">
        <v>202</v>
      </c>
      <c r="K142" s="5">
        <v>0.0513888888888889</v>
      </c>
      <c r="L142" s="4" t="s">
        <v>59</v>
      </c>
      <c r="M142" s="27" t="s">
        <v>774</v>
      </c>
      <c r="N142" s="6">
        <v>92.5</v>
      </c>
      <c r="P142" s="11" t="s">
        <v>775</v>
      </c>
    </row>
    <row r="143" ht="17" spans="1:16">
      <c r="A143" s="3">
        <v>44037</v>
      </c>
      <c r="B143" s="10" t="s">
        <v>49</v>
      </c>
      <c r="C143" s="13" t="s">
        <v>776</v>
      </c>
      <c r="D143" s="4" t="s">
        <v>777</v>
      </c>
      <c r="E143" s="11" t="s">
        <v>778</v>
      </c>
      <c r="F143" s="11" t="s">
        <v>239</v>
      </c>
      <c r="G143" s="11" t="s">
        <v>426</v>
      </c>
      <c r="H143" s="2">
        <v>466</v>
      </c>
      <c r="I143" s="15" t="s">
        <v>779</v>
      </c>
      <c r="J143" s="2">
        <v>202</v>
      </c>
      <c r="K143" s="5">
        <v>0.0555555555555556</v>
      </c>
      <c r="L143" s="4" t="s">
        <v>780</v>
      </c>
      <c r="M143" s="27" t="s">
        <v>781</v>
      </c>
      <c r="N143" s="6">
        <v>92.5</v>
      </c>
      <c r="P143" s="11" t="s">
        <v>782</v>
      </c>
    </row>
    <row r="144" ht="17" spans="1:16">
      <c r="A144" s="3">
        <v>43845</v>
      </c>
      <c r="B144" s="10" t="s">
        <v>49</v>
      </c>
      <c r="C144" s="13" t="s">
        <v>783</v>
      </c>
      <c r="D144" s="4" t="s">
        <v>784</v>
      </c>
      <c r="E144" s="11" t="s">
        <v>424</v>
      </c>
      <c r="F144" s="11" t="s">
        <v>785</v>
      </c>
      <c r="G144" s="11" t="s">
        <v>426</v>
      </c>
      <c r="H144" s="2">
        <v>1709</v>
      </c>
      <c r="I144" s="15" t="s">
        <v>658</v>
      </c>
      <c r="J144" s="2">
        <v>1434</v>
      </c>
      <c r="K144" s="5">
        <v>0.288194444444444</v>
      </c>
      <c r="L144" s="4">
        <v>8</v>
      </c>
      <c r="M144" s="27" t="s">
        <v>786</v>
      </c>
      <c r="N144" s="6">
        <v>446.5</v>
      </c>
      <c r="P144" s="27" t="s">
        <v>787</v>
      </c>
    </row>
    <row r="145" ht="17" spans="1:16">
      <c r="A145" s="3">
        <v>43744</v>
      </c>
      <c r="B145" s="10" t="s">
        <v>49</v>
      </c>
      <c r="C145" s="13" t="s">
        <v>788</v>
      </c>
      <c r="D145" s="4" t="s">
        <v>789</v>
      </c>
      <c r="E145" s="11" t="s">
        <v>790</v>
      </c>
      <c r="F145" s="11" t="s">
        <v>424</v>
      </c>
      <c r="G145" s="11" t="s">
        <v>791</v>
      </c>
      <c r="H145" s="2">
        <v>120</v>
      </c>
      <c r="I145" s="15" t="s">
        <v>792</v>
      </c>
      <c r="J145" s="2">
        <v>120</v>
      </c>
      <c r="K145" s="21" t="s">
        <v>793</v>
      </c>
      <c r="L145" s="4" t="s">
        <v>794</v>
      </c>
      <c r="M145" s="27" t="s">
        <v>795</v>
      </c>
      <c r="N145" s="6">
        <v>54.5</v>
      </c>
      <c r="P145" s="27" t="s">
        <v>796</v>
      </c>
    </row>
    <row r="146" ht="17" spans="1:16">
      <c r="A146" s="3">
        <v>43742</v>
      </c>
      <c r="B146" s="10" t="s">
        <v>246</v>
      </c>
      <c r="C146" s="13" t="s">
        <v>797</v>
      </c>
      <c r="D146" s="20" t="s">
        <v>798</v>
      </c>
      <c r="E146" s="11" t="s">
        <v>506</v>
      </c>
      <c r="F146" s="11" t="s">
        <v>790</v>
      </c>
      <c r="G146" s="20" t="s">
        <v>798</v>
      </c>
      <c r="H146" s="2">
        <v>163.74</v>
      </c>
      <c r="I146" s="15" t="s">
        <v>799</v>
      </c>
      <c r="J146" s="2">
        <v>163.74</v>
      </c>
      <c r="K146" s="5">
        <v>0.466018518518519</v>
      </c>
      <c r="L146" s="4" t="s">
        <v>59</v>
      </c>
      <c r="M146" s="2" t="s">
        <v>59</v>
      </c>
      <c r="N146" s="6" t="s">
        <v>59</v>
      </c>
      <c r="O146" s="2" t="s">
        <v>59</v>
      </c>
      <c r="P146" s="27" t="s">
        <v>800</v>
      </c>
    </row>
    <row r="147" ht="17" spans="1:16">
      <c r="A147" s="3">
        <v>43741</v>
      </c>
      <c r="B147" s="10" t="s">
        <v>39</v>
      </c>
      <c r="C147" s="13" t="s">
        <v>801</v>
      </c>
      <c r="D147" s="4" t="s">
        <v>802</v>
      </c>
      <c r="E147" s="11" t="s">
        <v>249</v>
      </c>
      <c r="F147" s="11" t="s">
        <v>671</v>
      </c>
      <c r="G147" s="29" t="s">
        <v>315</v>
      </c>
      <c r="H147" s="2">
        <v>1200</v>
      </c>
      <c r="I147" s="15" t="s">
        <v>803</v>
      </c>
      <c r="J147" s="2">
        <v>1200</v>
      </c>
      <c r="K147" s="5">
        <v>0.0756944444444444</v>
      </c>
      <c r="L147" s="4" t="s">
        <v>804</v>
      </c>
      <c r="M147" s="2" t="s">
        <v>805</v>
      </c>
      <c r="N147" s="6">
        <v>410</v>
      </c>
      <c r="O147" s="11" t="s">
        <v>259</v>
      </c>
      <c r="P147" s="11" t="s">
        <v>806</v>
      </c>
    </row>
    <row r="148" ht="17" spans="1:16">
      <c r="A148" s="3">
        <v>43739</v>
      </c>
      <c r="B148" s="10" t="s">
        <v>49</v>
      </c>
      <c r="C148" s="13" t="s">
        <v>807</v>
      </c>
      <c r="D148" s="4" t="s">
        <v>808</v>
      </c>
      <c r="E148" s="11" t="s">
        <v>468</v>
      </c>
      <c r="F148" s="11" t="s">
        <v>809</v>
      </c>
      <c r="G148" s="11" t="s">
        <v>810</v>
      </c>
      <c r="H148" s="2">
        <v>2510</v>
      </c>
      <c r="I148" s="15" t="s">
        <v>811</v>
      </c>
      <c r="J148" s="2">
        <v>167</v>
      </c>
      <c r="K148" s="5">
        <v>0.0972222222222222</v>
      </c>
      <c r="L148" s="22" t="s">
        <v>812</v>
      </c>
      <c r="M148" s="27" t="s">
        <v>813</v>
      </c>
      <c r="N148" s="6">
        <v>24.5</v>
      </c>
      <c r="P148" s="11" t="s">
        <v>814</v>
      </c>
    </row>
    <row r="149" ht="17" spans="1:16">
      <c r="A149" s="3">
        <v>43735</v>
      </c>
      <c r="B149" s="10" t="s">
        <v>49</v>
      </c>
      <c r="C149" s="13" t="s">
        <v>815</v>
      </c>
      <c r="D149" s="4" t="s">
        <v>816</v>
      </c>
      <c r="E149" s="11" t="s">
        <v>506</v>
      </c>
      <c r="F149" s="11" t="s">
        <v>500</v>
      </c>
      <c r="G149" s="11" t="s">
        <v>817</v>
      </c>
      <c r="H149" s="2">
        <v>1463</v>
      </c>
      <c r="I149" s="15" t="s">
        <v>508</v>
      </c>
      <c r="J149" s="2">
        <v>1463</v>
      </c>
      <c r="K149" s="5">
        <v>0.502777777777778</v>
      </c>
      <c r="L149" s="4" t="s">
        <v>59</v>
      </c>
      <c r="M149" s="27" t="s">
        <v>818</v>
      </c>
      <c r="N149" s="6">
        <v>440</v>
      </c>
      <c r="P149" s="11" t="s">
        <v>819</v>
      </c>
    </row>
    <row r="150" ht="17" spans="1:16">
      <c r="A150" s="3">
        <v>43690</v>
      </c>
      <c r="B150" s="10" t="s">
        <v>49</v>
      </c>
      <c r="C150" s="13" t="s">
        <v>820</v>
      </c>
      <c r="D150" s="4" t="s">
        <v>821</v>
      </c>
      <c r="E150" s="11" t="s">
        <v>822</v>
      </c>
      <c r="F150" s="11" t="s">
        <v>424</v>
      </c>
      <c r="G150" s="11" t="s">
        <v>817</v>
      </c>
      <c r="H150" s="2">
        <v>774</v>
      </c>
      <c r="I150" s="15" t="s">
        <v>823</v>
      </c>
      <c r="J150" s="2">
        <v>774</v>
      </c>
      <c r="K150" s="5">
        <v>0.275</v>
      </c>
      <c r="L150" s="4" t="s">
        <v>824</v>
      </c>
      <c r="M150" s="27" t="s">
        <v>825</v>
      </c>
      <c r="N150" s="6">
        <v>261</v>
      </c>
      <c r="P150" s="27" t="s">
        <v>826</v>
      </c>
    </row>
    <row r="151" spans="1:15">
      <c r="A151" s="3">
        <v>43687</v>
      </c>
      <c r="B151" s="3" t="s">
        <v>246</v>
      </c>
      <c r="C151" s="13" t="s">
        <v>827</v>
      </c>
      <c r="D151" s="27" t="s">
        <v>828</v>
      </c>
      <c r="E151" s="2" t="s">
        <v>829</v>
      </c>
      <c r="F151" s="2" t="s">
        <v>830</v>
      </c>
      <c r="G151" s="27" t="s">
        <v>828</v>
      </c>
      <c r="H151" s="2">
        <v>1712.52</v>
      </c>
      <c r="I151" s="16" t="s">
        <v>831</v>
      </c>
      <c r="J151" s="2">
        <v>145.2</v>
      </c>
      <c r="K151" s="5">
        <v>0.376782407407407</v>
      </c>
      <c r="L151" s="4" t="s">
        <v>59</v>
      </c>
      <c r="M151" s="2" t="s">
        <v>59</v>
      </c>
      <c r="N151" s="6" t="s">
        <v>59</v>
      </c>
      <c r="O151" s="2" t="s">
        <v>59</v>
      </c>
    </row>
    <row r="152" spans="1:15">
      <c r="A152" s="3">
        <v>43686</v>
      </c>
      <c r="B152" s="3" t="s">
        <v>246</v>
      </c>
      <c r="C152" s="13" t="s">
        <v>832</v>
      </c>
      <c r="D152" s="27" t="s">
        <v>828</v>
      </c>
      <c r="E152" s="2" t="s">
        <v>829</v>
      </c>
      <c r="F152" s="2" t="s">
        <v>830</v>
      </c>
      <c r="G152" s="27" t="s">
        <v>828</v>
      </c>
      <c r="H152" s="2">
        <v>1712.52</v>
      </c>
      <c r="I152" s="16" t="s">
        <v>833</v>
      </c>
      <c r="J152" s="2">
        <v>153.85</v>
      </c>
      <c r="K152" s="5">
        <v>0.363333333333333</v>
      </c>
      <c r="L152" s="4" t="s">
        <v>59</v>
      </c>
      <c r="M152" s="2" t="s">
        <v>59</v>
      </c>
      <c r="N152" s="6" t="s">
        <v>59</v>
      </c>
      <c r="O152" s="2" t="s">
        <v>59</v>
      </c>
    </row>
    <row r="153" spans="1:15">
      <c r="A153" s="3">
        <v>43684</v>
      </c>
      <c r="B153" s="3" t="s">
        <v>246</v>
      </c>
      <c r="C153" s="13" t="s">
        <v>834</v>
      </c>
      <c r="D153" s="27" t="s">
        <v>828</v>
      </c>
      <c r="E153" s="2" t="s">
        <v>829</v>
      </c>
      <c r="F153" s="2" t="s">
        <v>830</v>
      </c>
      <c r="G153" s="27" t="s">
        <v>828</v>
      </c>
      <c r="H153" s="2">
        <v>1712.52</v>
      </c>
      <c r="I153" s="16" t="s">
        <v>835</v>
      </c>
      <c r="J153" s="2">
        <v>122.95</v>
      </c>
      <c r="K153" s="5">
        <v>0.330185185185185</v>
      </c>
      <c r="L153" s="4" t="s">
        <v>59</v>
      </c>
      <c r="M153" s="2" t="s">
        <v>59</v>
      </c>
      <c r="N153" s="6" t="s">
        <v>59</v>
      </c>
      <c r="O153" s="2" t="s">
        <v>59</v>
      </c>
    </row>
    <row r="154" spans="1:15">
      <c r="A154" s="3">
        <v>43683</v>
      </c>
      <c r="B154" s="3" t="s">
        <v>246</v>
      </c>
      <c r="C154" s="13" t="s">
        <v>836</v>
      </c>
      <c r="D154" s="27" t="s">
        <v>828</v>
      </c>
      <c r="E154" s="2" t="s">
        <v>829</v>
      </c>
      <c r="F154" s="2" t="s">
        <v>830</v>
      </c>
      <c r="G154" s="27" t="s">
        <v>828</v>
      </c>
      <c r="H154" s="2">
        <v>1712.52</v>
      </c>
      <c r="I154" s="16" t="s">
        <v>837</v>
      </c>
      <c r="J154" s="2">
        <v>122.1</v>
      </c>
      <c r="K154" s="5">
        <v>0.304467592592593</v>
      </c>
      <c r="L154" s="4" t="s">
        <v>59</v>
      </c>
      <c r="M154" s="2" t="s">
        <v>59</v>
      </c>
      <c r="N154" s="6" t="s">
        <v>59</v>
      </c>
      <c r="O154" s="2" t="s">
        <v>59</v>
      </c>
    </row>
    <row r="155" spans="1:15">
      <c r="A155" s="3">
        <v>43682</v>
      </c>
      <c r="B155" s="3" t="s">
        <v>246</v>
      </c>
      <c r="C155" s="13" t="s">
        <v>838</v>
      </c>
      <c r="D155" s="27" t="s">
        <v>828</v>
      </c>
      <c r="E155" s="2" t="s">
        <v>829</v>
      </c>
      <c r="F155" s="2" t="s">
        <v>830</v>
      </c>
      <c r="G155" s="27" t="s">
        <v>828</v>
      </c>
      <c r="H155" s="2">
        <v>1712.52</v>
      </c>
      <c r="I155" s="16" t="s">
        <v>839</v>
      </c>
      <c r="J155" s="2">
        <v>95.1</v>
      </c>
      <c r="L155" s="4" t="s">
        <v>59</v>
      </c>
      <c r="M155" s="2" t="s">
        <v>59</v>
      </c>
      <c r="N155" s="6" t="s">
        <v>59</v>
      </c>
      <c r="O155" s="2" t="s">
        <v>59</v>
      </c>
    </row>
    <row r="156" spans="1:15">
      <c r="A156" s="3">
        <v>43680</v>
      </c>
      <c r="B156" s="3" t="s">
        <v>246</v>
      </c>
      <c r="C156" s="13" t="s">
        <v>840</v>
      </c>
      <c r="D156" s="27" t="s">
        <v>828</v>
      </c>
      <c r="E156" s="2" t="s">
        <v>829</v>
      </c>
      <c r="F156" s="2" t="s">
        <v>830</v>
      </c>
      <c r="G156" s="27" t="s">
        <v>828</v>
      </c>
      <c r="H156" s="2">
        <v>1712.52</v>
      </c>
      <c r="I156" s="16" t="s">
        <v>841</v>
      </c>
      <c r="J156" s="2">
        <v>116.42</v>
      </c>
      <c r="K156" s="5">
        <v>0.28943287037037</v>
      </c>
      <c r="L156" s="4" t="s">
        <v>59</v>
      </c>
      <c r="M156" s="2" t="s">
        <v>59</v>
      </c>
      <c r="N156" s="6" t="s">
        <v>59</v>
      </c>
      <c r="O156" s="2" t="s">
        <v>59</v>
      </c>
    </row>
    <row r="157" spans="1:15">
      <c r="A157" s="3">
        <v>43679</v>
      </c>
      <c r="B157" s="3" t="s">
        <v>246</v>
      </c>
      <c r="C157" s="13" t="s">
        <v>842</v>
      </c>
      <c r="D157" s="27" t="s">
        <v>828</v>
      </c>
      <c r="E157" s="2" t="s">
        <v>829</v>
      </c>
      <c r="F157" s="2" t="s">
        <v>830</v>
      </c>
      <c r="G157" s="27" t="s">
        <v>828</v>
      </c>
      <c r="H157" s="2">
        <v>1712.52</v>
      </c>
      <c r="I157" s="16" t="s">
        <v>843</v>
      </c>
      <c r="J157" s="2">
        <v>91.79</v>
      </c>
      <c r="K157" s="5">
        <v>0.222615740740741</v>
      </c>
      <c r="L157" s="4" t="s">
        <v>59</v>
      </c>
      <c r="M157" s="2" t="s">
        <v>59</v>
      </c>
      <c r="N157" s="6" t="s">
        <v>59</v>
      </c>
      <c r="O157" s="2" t="s">
        <v>59</v>
      </c>
    </row>
    <row r="158" spans="1:15">
      <c r="A158" s="3">
        <v>43676</v>
      </c>
      <c r="B158" s="3" t="s">
        <v>246</v>
      </c>
      <c r="C158" s="13" t="s">
        <v>844</v>
      </c>
      <c r="D158" s="27" t="s">
        <v>828</v>
      </c>
      <c r="E158" s="2" t="s">
        <v>829</v>
      </c>
      <c r="F158" s="2" t="s">
        <v>830</v>
      </c>
      <c r="G158" s="27" t="s">
        <v>828</v>
      </c>
      <c r="H158" s="2">
        <v>1712.52</v>
      </c>
      <c r="I158" s="16" t="s">
        <v>845</v>
      </c>
      <c r="J158" s="2">
        <v>114.7</v>
      </c>
      <c r="K158" s="5">
        <v>0.284664351851852</v>
      </c>
      <c r="L158" s="4" t="s">
        <v>59</v>
      </c>
      <c r="M158" s="2" t="s">
        <v>59</v>
      </c>
      <c r="N158" s="6" t="s">
        <v>59</v>
      </c>
      <c r="O158" s="2" t="s">
        <v>59</v>
      </c>
    </row>
    <row r="159" spans="1:15">
      <c r="A159" s="3">
        <v>43675</v>
      </c>
      <c r="B159" s="3" t="s">
        <v>246</v>
      </c>
      <c r="C159" s="13" t="s">
        <v>846</v>
      </c>
      <c r="D159" s="27" t="s">
        <v>828</v>
      </c>
      <c r="E159" s="2" t="s">
        <v>829</v>
      </c>
      <c r="F159" s="2" t="s">
        <v>830</v>
      </c>
      <c r="G159" s="27" t="s">
        <v>828</v>
      </c>
      <c r="H159" s="2">
        <v>1712.52</v>
      </c>
      <c r="I159" s="16" t="s">
        <v>847</v>
      </c>
      <c r="J159" s="2">
        <v>74.14</v>
      </c>
      <c r="K159" s="5">
        <v>0.194224537037037</v>
      </c>
      <c r="L159" s="4" t="s">
        <v>59</v>
      </c>
      <c r="M159" s="2" t="s">
        <v>59</v>
      </c>
      <c r="N159" s="6" t="s">
        <v>59</v>
      </c>
      <c r="O159" s="2" t="s">
        <v>59</v>
      </c>
    </row>
    <row r="160" spans="1:15">
      <c r="A160" s="3">
        <v>43674</v>
      </c>
      <c r="B160" s="3" t="s">
        <v>246</v>
      </c>
      <c r="C160" s="13" t="s">
        <v>848</v>
      </c>
      <c r="D160" s="27" t="s">
        <v>828</v>
      </c>
      <c r="E160" s="2" t="s">
        <v>829</v>
      </c>
      <c r="F160" s="2" t="s">
        <v>830</v>
      </c>
      <c r="G160" s="27" t="s">
        <v>828</v>
      </c>
      <c r="H160" s="2">
        <v>1712.52</v>
      </c>
      <c r="I160" s="16" t="s">
        <v>849</v>
      </c>
      <c r="J160" s="2">
        <v>118.9</v>
      </c>
      <c r="K160" s="5">
        <v>0.297719907407407</v>
      </c>
      <c r="L160" s="4" t="s">
        <v>59</v>
      </c>
      <c r="M160" s="2" t="s">
        <v>59</v>
      </c>
      <c r="N160" s="6" t="s">
        <v>59</v>
      </c>
      <c r="O160" s="2" t="s">
        <v>59</v>
      </c>
    </row>
    <row r="161" spans="1:15">
      <c r="A161" s="3">
        <v>43673</v>
      </c>
      <c r="B161" s="3" t="s">
        <v>246</v>
      </c>
      <c r="C161" s="13" t="s">
        <v>850</v>
      </c>
      <c r="D161" s="27" t="s">
        <v>828</v>
      </c>
      <c r="E161" s="2" t="s">
        <v>829</v>
      </c>
      <c r="F161" s="2" t="s">
        <v>830</v>
      </c>
      <c r="G161" s="27" t="s">
        <v>828</v>
      </c>
      <c r="H161" s="2">
        <v>1712.52</v>
      </c>
      <c r="I161" s="16" t="s">
        <v>851</v>
      </c>
      <c r="J161" s="2">
        <v>95.07</v>
      </c>
      <c r="K161" s="5">
        <v>0.227546296296296</v>
      </c>
      <c r="L161" s="4" t="s">
        <v>59</v>
      </c>
      <c r="M161" s="2" t="s">
        <v>59</v>
      </c>
      <c r="N161" s="6" t="s">
        <v>59</v>
      </c>
      <c r="O161" s="2" t="s">
        <v>59</v>
      </c>
    </row>
    <row r="162" ht="17" spans="1:16">
      <c r="A162" s="3">
        <v>43668</v>
      </c>
      <c r="B162" s="10" t="s">
        <v>49</v>
      </c>
      <c r="C162" s="13" t="s">
        <v>852</v>
      </c>
      <c r="D162" s="4">
        <v>4341</v>
      </c>
      <c r="E162" s="11" t="s">
        <v>853</v>
      </c>
      <c r="F162" s="11" t="s">
        <v>854</v>
      </c>
      <c r="G162" s="11" t="s">
        <v>507</v>
      </c>
      <c r="H162" s="2">
        <v>131</v>
      </c>
      <c r="I162" s="15" t="s">
        <v>855</v>
      </c>
      <c r="J162" s="2">
        <v>90</v>
      </c>
      <c r="K162" s="5">
        <v>0.0888888888888889</v>
      </c>
      <c r="L162" s="4" t="s">
        <v>59</v>
      </c>
      <c r="M162" s="27" t="s">
        <v>856</v>
      </c>
      <c r="N162" s="6">
        <v>6</v>
      </c>
      <c r="P162" s="2" t="s">
        <v>857</v>
      </c>
    </row>
    <row r="163" ht="17" spans="1:16">
      <c r="A163" s="3">
        <v>43668</v>
      </c>
      <c r="B163" s="10" t="s">
        <v>49</v>
      </c>
      <c r="C163" s="13" t="s">
        <v>858</v>
      </c>
      <c r="D163" s="4" t="s">
        <v>859</v>
      </c>
      <c r="E163" s="11" t="s">
        <v>860</v>
      </c>
      <c r="F163" s="11" t="s">
        <v>853</v>
      </c>
      <c r="G163" s="11" t="s">
        <v>861</v>
      </c>
      <c r="H163" s="2">
        <v>111</v>
      </c>
      <c r="I163" s="15" t="s">
        <v>862</v>
      </c>
      <c r="J163" s="2">
        <v>111</v>
      </c>
      <c r="K163" s="21" t="s">
        <v>863</v>
      </c>
      <c r="L163" s="4" t="s">
        <v>864</v>
      </c>
      <c r="M163" s="27" t="s">
        <v>865</v>
      </c>
      <c r="N163" s="6">
        <v>31.5</v>
      </c>
      <c r="P163" s="11" t="s">
        <v>866</v>
      </c>
    </row>
    <row r="164" ht="17" spans="1:16">
      <c r="A164" s="3">
        <v>43667</v>
      </c>
      <c r="B164" s="10" t="s">
        <v>49</v>
      </c>
      <c r="C164" s="13" t="s">
        <v>867</v>
      </c>
      <c r="D164" s="4" t="s">
        <v>868</v>
      </c>
      <c r="E164" s="11" t="s">
        <v>869</v>
      </c>
      <c r="F164" s="11" t="s">
        <v>860</v>
      </c>
      <c r="G164" s="11" t="s">
        <v>861</v>
      </c>
      <c r="H164" s="2">
        <v>420</v>
      </c>
      <c r="I164" s="15" t="s">
        <v>870</v>
      </c>
      <c r="J164" s="2">
        <v>333</v>
      </c>
      <c r="K164" s="5">
        <v>0.109722222222222</v>
      </c>
      <c r="L164" s="4" t="s">
        <v>59</v>
      </c>
      <c r="M164" s="27" t="s">
        <v>871</v>
      </c>
      <c r="N164" s="6">
        <v>98</v>
      </c>
      <c r="P164" s="11" t="s">
        <v>872</v>
      </c>
    </row>
    <row r="165" ht="17" spans="1:16">
      <c r="A165" s="3">
        <v>43666</v>
      </c>
      <c r="B165" s="10" t="s">
        <v>246</v>
      </c>
      <c r="C165" s="13" t="s">
        <v>873</v>
      </c>
      <c r="D165" s="27" t="s">
        <v>828</v>
      </c>
      <c r="E165" s="2" t="s">
        <v>829</v>
      </c>
      <c r="F165" s="2" t="s">
        <v>830</v>
      </c>
      <c r="G165" s="27" t="s">
        <v>828</v>
      </c>
      <c r="H165" s="2">
        <v>1712.52</v>
      </c>
      <c r="I165" s="15" t="s">
        <v>874</v>
      </c>
      <c r="J165" s="2">
        <v>83</v>
      </c>
      <c r="L165" s="4" t="s">
        <v>59</v>
      </c>
      <c r="M165" s="2" t="s">
        <v>59</v>
      </c>
      <c r="N165" s="6" t="s">
        <v>59</v>
      </c>
      <c r="O165" s="2" t="s">
        <v>59</v>
      </c>
      <c r="P165" s="11"/>
    </row>
    <row r="166" ht="17" spans="1:16">
      <c r="A166" s="3">
        <v>43665</v>
      </c>
      <c r="B166" s="10" t="s">
        <v>246</v>
      </c>
      <c r="C166" s="13" t="s">
        <v>875</v>
      </c>
      <c r="D166" s="27" t="s">
        <v>828</v>
      </c>
      <c r="E166" s="2" t="s">
        <v>829</v>
      </c>
      <c r="F166" s="2" t="s">
        <v>830</v>
      </c>
      <c r="G166" s="27" t="s">
        <v>828</v>
      </c>
      <c r="H166" s="2">
        <v>1712.52</v>
      </c>
      <c r="I166" s="15" t="s">
        <v>876</v>
      </c>
      <c r="J166" s="2">
        <v>72</v>
      </c>
      <c r="L166" s="4" t="s">
        <v>59</v>
      </c>
      <c r="M166" s="2" t="s">
        <v>59</v>
      </c>
      <c r="N166" s="6" t="s">
        <v>59</v>
      </c>
      <c r="O166" s="2" t="s">
        <v>59</v>
      </c>
      <c r="P166" s="11"/>
    </row>
    <row r="167" spans="1:16">
      <c r="A167" s="3">
        <v>43665</v>
      </c>
      <c r="B167" s="3" t="s">
        <v>16</v>
      </c>
      <c r="C167" s="13" t="s">
        <v>877</v>
      </c>
      <c r="D167" s="2" t="s">
        <v>878</v>
      </c>
      <c r="E167" s="2" t="s">
        <v>829</v>
      </c>
      <c r="F167" s="2" t="s">
        <v>830</v>
      </c>
      <c r="G167" s="2" t="s">
        <v>878</v>
      </c>
      <c r="I167" s="16" t="s">
        <v>879</v>
      </c>
      <c r="J167" s="2">
        <v>223</v>
      </c>
      <c r="K167" s="5">
        <v>0.126064814814815</v>
      </c>
      <c r="P167" s="2" t="s">
        <v>880</v>
      </c>
    </row>
    <row r="168" spans="1:15">
      <c r="A168" s="3">
        <v>43664</v>
      </c>
      <c r="B168" s="3" t="s">
        <v>246</v>
      </c>
      <c r="C168" s="13"/>
      <c r="D168" s="27" t="s">
        <v>828</v>
      </c>
      <c r="E168" s="2" t="s">
        <v>829</v>
      </c>
      <c r="F168" s="2" t="s">
        <v>830</v>
      </c>
      <c r="G168" s="27" t="s">
        <v>828</v>
      </c>
      <c r="H168" s="2">
        <v>1712.52</v>
      </c>
      <c r="I168" s="16" t="s">
        <v>881</v>
      </c>
      <c r="J168" s="2">
        <v>103.3</v>
      </c>
      <c r="L168" s="4" t="s">
        <v>59</v>
      </c>
      <c r="M168" s="2" t="s">
        <v>59</v>
      </c>
      <c r="N168" s="6" t="s">
        <v>59</v>
      </c>
      <c r="O168" s="2" t="s">
        <v>59</v>
      </c>
    </row>
    <row r="169" spans="1:15">
      <c r="A169" s="3">
        <v>43663</v>
      </c>
      <c r="B169" s="3" t="s">
        <v>246</v>
      </c>
      <c r="C169" s="13"/>
      <c r="D169" s="27" t="s">
        <v>828</v>
      </c>
      <c r="E169" s="2" t="s">
        <v>829</v>
      </c>
      <c r="F169" s="2" t="s">
        <v>830</v>
      </c>
      <c r="G169" s="27" t="s">
        <v>828</v>
      </c>
      <c r="H169" s="2">
        <v>1712.52</v>
      </c>
      <c r="I169" s="16" t="s">
        <v>882</v>
      </c>
      <c r="J169" s="2">
        <v>75.5</v>
      </c>
      <c r="L169" s="4" t="s">
        <v>59</v>
      </c>
      <c r="M169" s="2" t="s">
        <v>59</v>
      </c>
      <c r="N169" s="6" t="s">
        <v>59</v>
      </c>
      <c r="O169" s="2" t="s">
        <v>59</v>
      </c>
    </row>
    <row r="170" spans="1:15">
      <c r="A170" s="3">
        <v>43661</v>
      </c>
      <c r="B170" s="3" t="s">
        <v>246</v>
      </c>
      <c r="C170" s="13"/>
      <c r="D170" s="27" t="s">
        <v>828</v>
      </c>
      <c r="E170" s="2" t="s">
        <v>829</v>
      </c>
      <c r="F170" s="2" t="s">
        <v>830</v>
      </c>
      <c r="G170" s="27" t="s">
        <v>828</v>
      </c>
      <c r="H170" s="2">
        <v>1712.52</v>
      </c>
      <c r="I170" s="16" t="s">
        <v>883</v>
      </c>
      <c r="J170" s="2">
        <v>128.5</v>
      </c>
      <c r="L170" s="4" t="s">
        <v>59</v>
      </c>
      <c r="M170" s="2" t="s">
        <v>59</v>
      </c>
      <c r="N170" s="6" t="s">
        <v>59</v>
      </c>
      <c r="O170" s="2" t="s">
        <v>59</v>
      </c>
    </row>
    <row r="171" ht="17" spans="1:16">
      <c r="A171" s="3">
        <v>43658</v>
      </c>
      <c r="B171" s="10" t="s">
        <v>49</v>
      </c>
      <c r="C171" s="13" t="s">
        <v>884</v>
      </c>
      <c r="D171" s="4" t="s">
        <v>885</v>
      </c>
      <c r="E171" s="11" t="s">
        <v>506</v>
      </c>
      <c r="F171" s="11" t="s">
        <v>829</v>
      </c>
      <c r="G171" s="11" t="s">
        <v>886</v>
      </c>
      <c r="H171" s="2">
        <v>2086</v>
      </c>
      <c r="I171" s="15" t="s">
        <v>887</v>
      </c>
      <c r="J171" s="2">
        <v>2086</v>
      </c>
      <c r="K171" s="21" t="s">
        <v>888</v>
      </c>
      <c r="L171" s="4" t="s">
        <v>59</v>
      </c>
      <c r="M171" s="27" t="s">
        <v>889</v>
      </c>
      <c r="N171" s="6">
        <v>421</v>
      </c>
      <c r="P171" s="27" t="s">
        <v>890</v>
      </c>
    </row>
    <row r="172" ht="17" spans="1:16">
      <c r="A172" s="3">
        <v>43646</v>
      </c>
      <c r="B172" s="10" t="s">
        <v>49</v>
      </c>
      <c r="C172" s="13" t="s">
        <v>891</v>
      </c>
      <c r="D172" s="4" t="s">
        <v>892</v>
      </c>
      <c r="E172" s="11" t="s">
        <v>893</v>
      </c>
      <c r="F172" s="11" t="s">
        <v>424</v>
      </c>
      <c r="G172" s="11" t="s">
        <v>569</v>
      </c>
      <c r="H172" s="2">
        <v>1279</v>
      </c>
      <c r="I172" s="15" t="s">
        <v>455</v>
      </c>
      <c r="J172" s="2">
        <v>1279</v>
      </c>
      <c r="K172" s="5">
        <v>0.19375</v>
      </c>
      <c r="L172" s="4" t="s">
        <v>456</v>
      </c>
      <c r="M172" s="27" t="s">
        <v>610</v>
      </c>
      <c r="N172" s="6">
        <v>404</v>
      </c>
      <c r="P172" s="27" t="s">
        <v>894</v>
      </c>
    </row>
    <row r="173" ht="17" spans="1:16">
      <c r="A173" s="3">
        <v>43646</v>
      </c>
      <c r="B173" s="10" t="s">
        <v>49</v>
      </c>
      <c r="C173" s="13" t="s">
        <v>895</v>
      </c>
      <c r="D173" s="4" t="s">
        <v>896</v>
      </c>
      <c r="E173" s="11" t="s">
        <v>897</v>
      </c>
      <c r="F173" s="11" t="s">
        <v>239</v>
      </c>
      <c r="G173" s="11" t="s">
        <v>426</v>
      </c>
      <c r="H173" s="2">
        <v>610</v>
      </c>
      <c r="I173" s="15" t="s">
        <v>241</v>
      </c>
      <c r="J173" s="2">
        <v>155</v>
      </c>
      <c r="K173" s="21" t="s">
        <v>898</v>
      </c>
      <c r="L173" s="4" t="s">
        <v>899</v>
      </c>
      <c r="M173" s="27" t="s">
        <v>900</v>
      </c>
      <c r="N173" s="6">
        <v>53.5</v>
      </c>
      <c r="P173" s="11" t="s">
        <v>901</v>
      </c>
    </row>
    <row r="174" ht="17" spans="1:16">
      <c r="A174" s="3">
        <v>43638</v>
      </c>
      <c r="B174" s="10" t="s">
        <v>49</v>
      </c>
      <c r="C174" s="13" t="s">
        <v>783</v>
      </c>
      <c r="D174" s="4" t="s">
        <v>784</v>
      </c>
      <c r="E174" s="11" t="s">
        <v>424</v>
      </c>
      <c r="F174" s="11" t="s">
        <v>785</v>
      </c>
      <c r="G174" s="11" t="s">
        <v>426</v>
      </c>
      <c r="H174" s="2">
        <v>1709</v>
      </c>
      <c r="I174" s="15" t="s">
        <v>658</v>
      </c>
      <c r="J174" s="2">
        <v>1434</v>
      </c>
      <c r="K174" s="5">
        <v>0.288194444444444</v>
      </c>
      <c r="L174" s="4">
        <v>8</v>
      </c>
      <c r="M174" s="27" t="s">
        <v>902</v>
      </c>
      <c r="N174" s="6">
        <v>446.5</v>
      </c>
      <c r="P174" s="27" t="s">
        <v>903</v>
      </c>
    </row>
    <row r="175" ht="17" spans="1:16">
      <c r="A175" s="3">
        <v>43509</v>
      </c>
      <c r="B175" s="10" t="s">
        <v>49</v>
      </c>
      <c r="C175" s="13" t="s">
        <v>904</v>
      </c>
      <c r="D175" s="4" t="s">
        <v>905</v>
      </c>
      <c r="E175" s="11" t="s">
        <v>290</v>
      </c>
      <c r="F175" s="11" t="s">
        <v>424</v>
      </c>
      <c r="G175" s="11" t="s">
        <v>426</v>
      </c>
      <c r="H175" s="2">
        <v>1434</v>
      </c>
      <c r="I175" s="15" t="s">
        <v>495</v>
      </c>
      <c r="J175" s="2">
        <v>1434</v>
      </c>
      <c r="K175" s="5">
        <v>0.285416666666667</v>
      </c>
      <c r="L175" s="4" t="s">
        <v>722</v>
      </c>
      <c r="M175" s="27" t="s">
        <v>906</v>
      </c>
      <c r="N175" s="6">
        <v>446.5</v>
      </c>
      <c r="P175" s="27" t="s">
        <v>907</v>
      </c>
    </row>
    <row r="176" ht="17" spans="1:16">
      <c r="A176" s="3">
        <v>43489</v>
      </c>
      <c r="B176" s="10" t="s">
        <v>49</v>
      </c>
      <c r="C176" s="13" t="s">
        <v>783</v>
      </c>
      <c r="D176" s="4" t="s">
        <v>784</v>
      </c>
      <c r="E176" s="11" t="s">
        <v>424</v>
      </c>
      <c r="F176" s="11" t="s">
        <v>785</v>
      </c>
      <c r="G176" s="11" t="s">
        <v>426</v>
      </c>
      <c r="H176" s="2">
        <v>1709</v>
      </c>
      <c r="I176" s="15" t="s">
        <v>658</v>
      </c>
      <c r="J176" s="2">
        <v>1434</v>
      </c>
      <c r="K176" s="5">
        <v>0.288194444444444</v>
      </c>
      <c r="L176" s="4">
        <v>8</v>
      </c>
      <c r="M176" s="27" t="s">
        <v>908</v>
      </c>
      <c r="N176" s="6">
        <v>446.5</v>
      </c>
      <c r="P176" s="27" t="s">
        <v>909</v>
      </c>
    </row>
    <row r="177" ht="17" spans="1:16">
      <c r="A177" s="3">
        <v>43375</v>
      </c>
      <c r="B177" s="10" t="s">
        <v>49</v>
      </c>
      <c r="C177" s="13" t="s">
        <v>910</v>
      </c>
      <c r="D177" s="4" t="s">
        <v>911</v>
      </c>
      <c r="E177" s="11" t="s">
        <v>790</v>
      </c>
      <c r="F177" s="11" t="s">
        <v>424</v>
      </c>
      <c r="G177" s="11" t="s">
        <v>861</v>
      </c>
      <c r="H177" s="2">
        <v>127</v>
      </c>
      <c r="I177" s="15" t="s">
        <v>792</v>
      </c>
      <c r="J177" s="2">
        <v>127</v>
      </c>
      <c r="K177" s="21" t="s">
        <v>912</v>
      </c>
      <c r="L177" s="4" t="s">
        <v>794</v>
      </c>
      <c r="M177" s="27" t="s">
        <v>913</v>
      </c>
      <c r="N177" s="6">
        <v>54.5</v>
      </c>
      <c r="P177" s="27" t="s">
        <v>914</v>
      </c>
    </row>
    <row r="178" ht="17" spans="1:16">
      <c r="A178" s="3">
        <v>43373</v>
      </c>
      <c r="B178" s="10" t="s">
        <v>246</v>
      </c>
      <c r="C178" s="13" t="s">
        <v>915</v>
      </c>
      <c r="D178" s="15" t="s">
        <v>916</v>
      </c>
      <c r="E178" s="11" t="s">
        <v>506</v>
      </c>
      <c r="F178" s="11" t="s">
        <v>790</v>
      </c>
      <c r="G178" s="15" t="s">
        <v>916</v>
      </c>
      <c r="H178" s="2">
        <v>144</v>
      </c>
      <c r="I178" s="15" t="s">
        <v>799</v>
      </c>
      <c r="J178" s="2">
        <v>144</v>
      </c>
      <c r="K178" s="5">
        <v>0.345648148148148</v>
      </c>
      <c r="L178" s="4" t="s">
        <v>59</v>
      </c>
      <c r="M178" s="2" t="s">
        <v>59</v>
      </c>
      <c r="N178" s="6" t="s">
        <v>59</v>
      </c>
      <c r="P178" s="27" t="s">
        <v>917</v>
      </c>
    </row>
    <row r="179" ht="17" spans="1:16">
      <c r="A179" s="3">
        <v>43341</v>
      </c>
      <c r="B179" s="10" t="s">
        <v>49</v>
      </c>
      <c r="C179" s="2" t="s">
        <v>918</v>
      </c>
      <c r="D179" s="4" t="s">
        <v>919</v>
      </c>
      <c r="E179" s="11" t="s">
        <v>272</v>
      </c>
      <c r="F179" s="11" t="s">
        <v>424</v>
      </c>
      <c r="G179" s="11" t="s">
        <v>426</v>
      </c>
      <c r="H179" s="2">
        <v>2011</v>
      </c>
      <c r="I179" s="15" t="s">
        <v>495</v>
      </c>
      <c r="J179" s="2">
        <v>1434</v>
      </c>
      <c r="K179" s="5">
        <v>0.283333333333333</v>
      </c>
      <c r="L179" s="4" t="s">
        <v>722</v>
      </c>
      <c r="M179" s="27" t="s">
        <v>920</v>
      </c>
      <c r="N179" s="6">
        <v>446.5</v>
      </c>
      <c r="P179" s="27" t="s">
        <v>921</v>
      </c>
    </row>
    <row r="180" ht="17" spans="1:16">
      <c r="A180" s="3">
        <v>42974</v>
      </c>
      <c r="B180" s="10" t="s">
        <v>49</v>
      </c>
      <c r="C180" s="13" t="s">
        <v>922</v>
      </c>
      <c r="D180" s="4" t="s">
        <v>784</v>
      </c>
      <c r="E180" s="11" t="s">
        <v>424</v>
      </c>
      <c r="F180" s="11" t="s">
        <v>785</v>
      </c>
      <c r="G180" s="11" t="s">
        <v>426</v>
      </c>
      <c r="H180" s="2">
        <v>1691</v>
      </c>
      <c r="I180" s="15" t="s">
        <v>658</v>
      </c>
      <c r="J180" s="2">
        <v>1434</v>
      </c>
      <c r="K180" s="5">
        <v>0.284722222222222</v>
      </c>
      <c r="L180" s="4">
        <v>8</v>
      </c>
      <c r="M180" s="27" t="s">
        <v>923</v>
      </c>
      <c r="N180" s="6">
        <v>595.5</v>
      </c>
      <c r="P180" s="15" t="s">
        <v>924</v>
      </c>
    </row>
    <row r="181" ht="17" spans="1:16">
      <c r="A181" s="3">
        <v>42967</v>
      </c>
      <c r="B181" s="10" t="s">
        <v>49</v>
      </c>
      <c r="C181" s="13" t="s">
        <v>925</v>
      </c>
      <c r="D181" s="4" t="s">
        <v>926</v>
      </c>
      <c r="E181" s="11" t="s">
        <v>785</v>
      </c>
      <c r="F181" s="11" t="s">
        <v>424</v>
      </c>
      <c r="G181" s="11" t="s">
        <v>426</v>
      </c>
      <c r="H181" s="2">
        <v>1709</v>
      </c>
      <c r="I181" s="15" t="s">
        <v>495</v>
      </c>
      <c r="J181" s="2">
        <v>1434</v>
      </c>
      <c r="K181" s="5">
        <v>0.3125</v>
      </c>
      <c r="L181" s="4" t="s">
        <v>722</v>
      </c>
      <c r="M181" s="27" t="s">
        <v>927</v>
      </c>
      <c r="N181" s="6">
        <v>595.5</v>
      </c>
      <c r="P181" s="11" t="s">
        <v>928</v>
      </c>
    </row>
    <row r="183" spans="1:3">
      <c r="A183" s="30" t="s">
        <v>929</v>
      </c>
      <c r="B183" s="30"/>
      <c r="C183" s="30"/>
    </row>
    <row r="184" spans="1:4">
      <c r="A184" s="31" t="s">
        <v>930</v>
      </c>
      <c r="B184" s="32"/>
      <c r="C184" s="32"/>
      <c r="D184" s="32"/>
    </row>
    <row r="185" spans="1:4">
      <c r="A185" s="31" t="s">
        <v>931</v>
      </c>
      <c r="B185" s="32"/>
      <c r="C185" s="32"/>
      <c r="D185" s="32"/>
    </row>
  </sheetData>
  <autoFilter xmlns:etc="http://www.wps.cn/officeDocument/2017/etCustomData" ref="A1:P181" etc:filterBottomFollowUsedRange="0">
    <extLst/>
  </autoFilter>
  <mergeCells count="3">
    <mergeCell ref="A183:C183"/>
    <mergeCell ref="A184:D184"/>
    <mergeCell ref="A185:D185"/>
  </mergeCells>
  <hyperlinks>
    <hyperlink ref="A184" r:id="rId1" display="https://www.chalieche.com/"/>
    <hyperlink ref="A185" r:id="rId2" display="http://www.gaotie.cn/"/>
  </hyperlinks>
  <pageMargins left="0.7" right="0.7" top="0.75" bottom="0.75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LibreOffice/7.3.7.2$Linux_X86_64 LibreOffice_project/30$Build-2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Winston</dc:creator>
  <cp:lastModifiedBy>swmao</cp:lastModifiedBy>
  <cp:revision>220</cp:revision>
  <dcterms:created xsi:type="dcterms:W3CDTF">2023-07-31T07:38:00Z</dcterms:created>
  <dcterms:modified xsi:type="dcterms:W3CDTF">2025-11-15T10:23:13Z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167A73DCDFFEF7F747BBDA685F38889B_42</vt:lpwstr>
  </property>
  <property fmtid="{D5CDD505-2E9C-101B-9397-08002B2CF9AE}" pid="3" name="KSOProductBuildVer">
    <vt:lpwstr>1033-12.1.23143.23143</vt:lpwstr>
  </property>
</Properties>
</file>